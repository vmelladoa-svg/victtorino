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talle" sheetId="2" state="visible" r:id="rId4"/>
    <sheet name="Por Familia" sheetId="3" state="visible" r:id="rId5"/>
    <sheet name="Top Inmovilizado" sheetId="4" state="visible" r:id="rId6"/>
  </sheets>
  <definedNames>
    <definedName function="false" hidden="true" localSheetId="1" name="_xlnm._FilterDatabase" vbProcedure="false">Detalle!$A$1:$K$152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<sst xmlns="http://schemas.openxmlformats.org/spreadsheetml/2006/main" count="699" uniqueCount="356">
  <si>
    <t xml:space="preserve">SALUD DE INVENTARIO — VICTOR</t>
  </si>
  <si>
    <t xml:space="preserve">Snapshot al 26-05-2026 · Fuente: Informe ERP · 151 SKUs</t>
  </si>
  <si>
    <t xml:space="preserve">MÉTRICA</t>
  </si>
  <si>
    <t xml:space="preserve">VALOR</t>
  </si>
  <si>
    <t xml:space="preserve">Total SKUs</t>
  </si>
  <si>
    <t xml:space="preserve">Valor total inmovilizado (al costo, CLP)</t>
  </si>
  <si>
    <t xml:space="preserve">Costo unitario promedio (CLP)</t>
  </si>
  <si>
    <t xml:space="preserve">Costo unitario máximo (CLP)</t>
  </si>
  <si>
    <t xml:space="preserve">Stock total (unidades)</t>
  </si>
  <si>
    <t xml:space="preserve">SKUs en stock crítico (1-3 u)</t>
  </si>
  <si>
    <t xml:space="preserve">SKUs en stock medio (4-10 u)</t>
  </si>
  <si>
    <t xml:space="preserve">SKUs en stock sano (&gt;10 u)</t>
  </si>
  <si>
    <t xml:space="preserve">SKUs agotados (stock = 0)</t>
  </si>
  <si>
    <t xml:space="preserve">SKUs con reposición pendiente</t>
  </si>
  <si>
    <t xml:space="preserve">CÓMO LEER ESTE ARCHIVO</t>
  </si>
  <si>
    <t xml:space="preserve">• Hoja 'Detalle': 151 SKUs con código, descripción, familia, stock, costo unitario y valor inmovilizado.</t>
  </si>
  <si>
    <t xml:space="preserve">• Hoja 'Por Familia': agrupación por familia de producto con totales.</t>
  </si>
  <si>
    <t xml:space="preserve">• Hoja 'Top Inmovilizado': los 20 SKUs con mayor capital dormido — prioridad para entender rotación.</t>
  </si>
  <si>
    <t xml:space="preserve">• Clasificación de riesgo: CRÍTICO (1-3 u) · MEDIO (4-10 u) · SANO (&gt;10 u) · AGOTADO (0 u).</t>
  </si>
  <si>
    <t xml:space="preserve">• Falta: precio de venta por marketplace + comisiones + costo logístico para calcular margen neto.</t>
  </si>
  <si>
    <t xml:space="preserve">Código</t>
  </si>
  <si>
    <t xml:space="preserve">Descripción</t>
  </si>
  <si>
    <t xml:space="preserve">Familia</t>
  </si>
  <si>
    <t xml:space="preserve">Stock</t>
  </si>
  <si>
    <t xml:space="preserve">Costo unit (CLP)</t>
  </si>
  <si>
    <t xml:space="preserve">Pend. recepción</t>
  </si>
  <si>
    <t xml:space="preserve">Fecha recepción</t>
  </si>
  <si>
    <t xml:space="preserve">Pend. entrega</t>
  </si>
  <si>
    <t xml:space="preserve">Stock futuro</t>
  </si>
  <si>
    <t xml:space="preserve">Valor inmovilizado (CLP)</t>
  </si>
  <si>
    <t xml:space="preserve">Riesgo stock</t>
  </si>
  <si>
    <t xml:space="preserve">040201005</t>
  </si>
  <si>
    <t xml:space="preserve">T-LLAVE MONOMANDO LAVAPLATOS VERTICAL PROFESIONAL</t>
  </si>
  <si>
    <t xml:space="preserve">04 - Válvulas y llaves</t>
  </si>
  <si>
    <t xml:space="preserve">0</t>
  </si>
  <si>
    <t xml:space="preserve">020102008</t>
  </si>
  <si>
    <t xml:space="preserve">W-WC</t>
  </si>
  <si>
    <t xml:space="preserve">02 - Lavaplatos</t>
  </si>
  <si>
    <t xml:space="preserve">915100122</t>
  </si>
  <si>
    <t xml:space="preserve">Pack Lavaplatos 80x44 Secador Izquierdo + Rejilla Agustina + Llave Vertical Inox</t>
  </si>
  <si>
    <t xml:space="preserve">91 - Rejillas y misc</t>
  </si>
  <si>
    <t xml:space="preserve">010703007</t>
  </si>
  <si>
    <t xml:space="preserve">T-ESPEJO 60X90 RECTANGULAR BORDE AZUL</t>
  </si>
  <si>
    <t xml:space="preserve">01 - Accesorios baño/ducha</t>
  </si>
  <si>
    <t xml:space="preserve">010102008</t>
  </si>
  <si>
    <t xml:space="preserve">T-BARRA 3 APOYOS 90 MURO</t>
  </si>
  <si>
    <t xml:space="preserve">040202002</t>
  </si>
  <si>
    <t xml:space="preserve">T-LLAVE MONOMANDO LAVATORIO ALTO NOTTE NEGRO</t>
  </si>
  <si>
    <t xml:space="preserve">010704017</t>
  </si>
  <si>
    <t xml:space="preserve">T-MONOMANDO DUCHA NOTTE</t>
  </si>
  <si>
    <t xml:space="preserve">040203001</t>
  </si>
  <si>
    <t xml:space="preserve">T-LLAVE MONOMANDO DUCHA AL MURO NOTTE NEGRO</t>
  </si>
  <si>
    <t xml:space="preserve">010702003</t>
  </si>
  <si>
    <t xml:space="preserve">T-PAPELERO PEDAL 12 L</t>
  </si>
  <si>
    <t xml:space="preserve">010102003</t>
  </si>
  <si>
    <t xml:space="preserve">T-BARRA DUCHA DESLIZABLE 65 CM</t>
  </si>
  <si>
    <t xml:space="preserve">010701013</t>
  </si>
  <si>
    <t xml:space="preserve">T-PORTAPAPEL HIGIENICO INDUSTRIAL PLASTICO</t>
  </si>
  <si>
    <t xml:space="preserve">010302009</t>
  </si>
  <si>
    <t xml:space="preserve">T-Asiento Tapa WC Modern</t>
  </si>
  <si>
    <t xml:space="preserve">010102006</t>
  </si>
  <si>
    <t xml:space="preserve">T-Barra seguridad 60 cm acero inox.</t>
  </si>
  <si>
    <t xml:space="preserve">010301011</t>
  </si>
  <si>
    <t xml:space="preserve">T-VALVULA DESCARGA DUAL FLUSH ESTANQUE TRADICIONAL</t>
  </si>
  <si>
    <t xml:space="preserve">010102004</t>
  </si>
  <si>
    <t xml:space="preserve">T-BARRA SEGURIDAD RECTA 30 CM</t>
  </si>
  <si>
    <t xml:space="preserve">010701003</t>
  </si>
  <si>
    <t xml:space="preserve">T-DISPENSADOR PAPEL TOALLA INTERFOLIADA ACRILICO</t>
  </si>
  <si>
    <t xml:space="preserve">030101002</t>
  </si>
  <si>
    <t xml:space="preserve">T-FLEXIBLE AGUA HE HI 1/2 LLAVE ANGULAR 35 CM</t>
  </si>
  <si>
    <t xml:space="preserve">03 - WC y accesorios</t>
  </si>
  <si>
    <t xml:space="preserve">010701011</t>
  </si>
  <si>
    <t xml:space="preserve">T-DISPENSADOR JABON SIMPLE MEJORADO 360 ML</t>
  </si>
  <si>
    <t xml:space="preserve">010301010</t>
  </si>
  <si>
    <t xml:space="preserve">T-VALVULA CARGA WC FLOTADOR</t>
  </si>
  <si>
    <t xml:space="preserve">010704002</t>
  </si>
  <si>
    <t xml:space="preserve">T-JABONERA COLOMBA</t>
  </si>
  <si>
    <t xml:space="preserve">010205004</t>
  </si>
  <si>
    <t xml:space="preserve">T-SIFON LAVATORIO 1 1/2 1 1/4 CODO PLASTICO</t>
  </si>
  <si>
    <t xml:space="preserve">030101007</t>
  </si>
  <si>
    <t xml:space="preserve">T-FLEXIBLE AGUA HI HI 1/2 50 CM</t>
  </si>
  <si>
    <t xml:space="preserve">030101003</t>
  </si>
  <si>
    <t xml:space="preserve">T-FLEXIBLE AGUA HE HI 1/2 50 CM</t>
  </si>
  <si>
    <t xml:space="preserve">010301002</t>
  </si>
  <si>
    <t xml:space="preserve">T-KIT FIJACIONES ESTANQUE WC</t>
  </si>
  <si>
    <t xml:space="preserve">010301018</t>
  </si>
  <si>
    <t xml:space="preserve">T-SELLO ANTIFUGA - MIRAGE</t>
  </si>
  <si>
    <t xml:space="preserve">010502005</t>
  </si>
  <si>
    <t xml:space="preserve">T-MAMPARA DUCHA 120-140X190 CM</t>
  </si>
  <si>
    <t xml:space="preserve">100501028</t>
  </si>
  <si>
    <t xml:space="preserve">T-Base curva 80x120 Izq.</t>
  </si>
  <si>
    <t xml:space="preserve">10 - Mamparas/duchas premium</t>
  </si>
  <si>
    <t xml:space="preserve">915100128</t>
  </si>
  <si>
    <t xml:space="preserve">Lavaplatos empotrado ancho Hamburgo</t>
  </si>
  <si>
    <t xml:space="preserve">020101006</t>
  </si>
  <si>
    <t xml:space="preserve">T-LAVAPLATOS SIMPLE EMPOTRADO 80X50 CM HANNOVER</t>
  </si>
  <si>
    <t xml:space="preserve">915100115</t>
  </si>
  <si>
    <t xml:space="preserve">Pack Lavaplatos 80x44 Secador Derecho + Rejilla Agustina + Llave Domenica</t>
  </si>
  <si>
    <t xml:space="preserve">915100116</t>
  </si>
  <si>
    <t xml:space="preserve">Pack Lavaplatos 80x44 Secador Derecho + Rejilla Agustina + Llave Vertical Inox</t>
  </si>
  <si>
    <t xml:space="preserve">915100121</t>
  </si>
  <si>
    <t xml:space="preserve">Pack Lavaplatos 80x44 Secador Izquierdo + Rejilla Agustina + Llave Domenica</t>
  </si>
  <si>
    <t xml:space="preserve">915100113</t>
  </si>
  <si>
    <t xml:space="preserve">Pack Lavaplatos 80x44 Secador Derecho + Rejilla Agustina + Llave Colomba</t>
  </si>
  <si>
    <t xml:space="preserve">915100120</t>
  </si>
  <si>
    <t xml:space="preserve">Pack Lavaplatos 80x44 Secador Izquierdo + Rejilla Agustina + Llave Colomba</t>
  </si>
  <si>
    <t xml:space="preserve">010201001</t>
  </si>
  <si>
    <t xml:space="preserve">T-LAVATORIO CRISTAL SOBREPUESTO 415X415 MM</t>
  </si>
  <si>
    <t xml:space="preserve">010701012</t>
  </si>
  <si>
    <t xml:space="preserve">T-PORTAPAPEL HIGIENICO INDUSTRIAL ACERO</t>
  </si>
  <si>
    <t xml:space="preserve">010701005</t>
  </si>
  <si>
    <t xml:space="preserve">T-PORTA TOALLA REPISA 60 CM AL MURO</t>
  </si>
  <si>
    <t xml:space="preserve">010801004</t>
  </si>
  <si>
    <t xml:space="preserve">T-KIT DUCHA BIDET ARABE</t>
  </si>
  <si>
    <t xml:space="preserve">020301002</t>
  </si>
  <si>
    <t xml:space="preserve">T-LLAVE LAVADERO LAVADORA DOBLE 3/4</t>
  </si>
  <si>
    <t xml:space="preserve">915100123</t>
  </si>
  <si>
    <t xml:space="preserve">Pack Plato Ducha Modern Cuadrado + Brazo Metalico al muro 30 cms</t>
  </si>
  <si>
    <t xml:space="preserve">010403001</t>
  </si>
  <si>
    <t xml:space="preserve">T-SIFON URINARIO 1 1/4 METALICO</t>
  </si>
  <si>
    <t xml:space="preserve">010703012</t>
  </si>
  <si>
    <t xml:space="preserve">T-Espejo Redondo Doble Cara Con Aumento X3 Pedestal</t>
  </si>
  <si>
    <t xml:space="preserve">020103005</t>
  </si>
  <si>
    <t xml:space="preserve">T-LAVACOPA NOTTE</t>
  </si>
  <si>
    <t xml:space="preserve">020103006</t>
  </si>
  <si>
    <t xml:space="preserve">T-LLAVE LAVACOPAS INOX</t>
  </si>
  <si>
    <t xml:space="preserve">010702002</t>
  </si>
  <si>
    <t xml:space="preserve">T-PAPELERO PEDAL 5 L</t>
  </si>
  <si>
    <t xml:space="preserve">010103001</t>
  </si>
  <si>
    <t xml:space="preserve">T-BRAZO DUCHA ENTRADA FLEXIBLE 30 CM</t>
  </si>
  <si>
    <t xml:space="preserve">020100402</t>
  </si>
  <si>
    <t xml:space="preserve">T-JUEGO DUCHA CONSTER</t>
  </si>
  <si>
    <t xml:space="preserve">020100702</t>
  </si>
  <si>
    <t xml:space="preserve">T-SET DUCHA NEUE FREIBURG</t>
  </si>
  <si>
    <t xml:space="preserve">010704018</t>
  </si>
  <si>
    <t xml:space="preserve">T-JABONERA BOTELLA LINEA SCHWARZ</t>
  </si>
  <si>
    <t xml:space="preserve">010205003</t>
  </si>
  <si>
    <t xml:space="preserve">T-SIFON LAVATORIO 1 1/4 BOTELLA METALICO</t>
  </si>
  <si>
    <t xml:space="preserve">030102002</t>
  </si>
  <si>
    <t xml:space="preserve">T-FLEXIBLE GAS HI HI 3/8 1/2 100 CM</t>
  </si>
  <si>
    <t xml:space="preserve">010604003</t>
  </si>
  <si>
    <t xml:space="preserve">T-Desague Sifon Receptaculo 90 mm</t>
  </si>
  <si>
    <t xml:space="preserve">010602001</t>
  </si>
  <si>
    <t xml:space="preserve">T-DESAGUE TINA 1 1/2 REBALSE PLASTICO</t>
  </si>
  <si>
    <t xml:space="preserve">010701010</t>
  </si>
  <si>
    <t xml:space="preserve">T-DISPENSADOR JABON SIMPLE 500 ML</t>
  </si>
  <si>
    <t xml:space="preserve">010301001</t>
  </si>
  <si>
    <t xml:space="preserve">T-KIT ANCLAJE WC</t>
  </si>
  <si>
    <t xml:space="preserve">010204004</t>
  </si>
  <si>
    <t xml:space="preserve">T-DESAGUE LAVATORIO 1 1/4</t>
  </si>
  <si>
    <t xml:space="preserve">010501022</t>
  </si>
  <si>
    <t xml:space="preserve">T-SHOWER DOOR 80X80X195 CUADRADO TRANSPARENTE</t>
  </si>
  <si>
    <t xml:space="preserve">040303004</t>
  </si>
  <si>
    <t xml:space="preserve">T-FLUXOMETRO PALANCA SUPERIOR 1</t>
  </si>
  <si>
    <t xml:space="preserve">020101005</t>
  </si>
  <si>
    <t xml:space="preserve">T-LAVAPLATOS SIMPLE EMPOTRADO 686X456 MM HAMBURG</t>
  </si>
  <si>
    <t xml:space="preserve">010703004</t>
  </si>
  <si>
    <t xml:space="preserve">T-ESPEJO 50X70 RECTANGULAR LED</t>
  </si>
  <si>
    <t xml:space="preserve">010703014</t>
  </si>
  <si>
    <t xml:space="preserve">T-ESPEJO CIRC 60 CM LED TRIPLE, BORD.METAL</t>
  </si>
  <si>
    <t xml:space="preserve">100501025</t>
  </si>
  <si>
    <t xml:space="preserve">T-Base curva 80x80</t>
  </si>
  <si>
    <t xml:space="preserve">010102007</t>
  </si>
  <si>
    <t xml:space="preserve">T-BARRA 3 APOYOS 90 ESQUINERA</t>
  </si>
  <si>
    <t xml:space="preserve">040202003</t>
  </si>
  <si>
    <t xml:space="preserve">T-LLAVE MONOMANDO LAVATORIO ALTO MODERN PALETA INOX</t>
  </si>
  <si>
    <t xml:space="preserve">040501006</t>
  </si>
  <si>
    <t xml:space="preserve">T-Valvula Pedal Simple</t>
  </si>
  <si>
    <t xml:space="preserve">040203005</t>
  </si>
  <si>
    <t xml:space="preserve">T-LLAVE MONOMANDO DUCHA EMPOTRADA DUSSELDORF</t>
  </si>
  <si>
    <t xml:space="preserve">010704012</t>
  </si>
  <si>
    <t xml:space="preserve">T-SET ACCESORIOS BAÑO COLOMBA 6 PIEZAS</t>
  </si>
  <si>
    <t xml:space="preserve">010703011</t>
  </si>
  <si>
    <t xml:space="preserve">T-ESPEJO DOBLE AL MURO</t>
  </si>
  <si>
    <t xml:space="preserve">6</t>
  </si>
  <si>
    <t xml:space="preserve">040202005</t>
  </si>
  <si>
    <t xml:space="preserve">T-LLAVE MONOMANDO LAVATORIO COLOMBA</t>
  </si>
  <si>
    <t xml:space="preserve">020301001</t>
  </si>
  <si>
    <t xml:space="preserve">T-LLAVE LAVADERO CON FLANGE HE HE 1/2 3/4</t>
  </si>
  <si>
    <t xml:space="preserve">010602002</t>
  </si>
  <si>
    <t xml:space="preserve">T-DESAGUE TINA 1 1/2 METALICO</t>
  </si>
  <si>
    <t xml:space="preserve">010103003</t>
  </si>
  <si>
    <t xml:space="preserve">T-BRAZO DUCHA AL MURO 40 CM</t>
  </si>
  <si>
    <t xml:space="preserve">030101006</t>
  </si>
  <si>
    <t xml:space="preserve">T-FLEXIBLE AGUA HI HI 1/2 100 CM</t>
  </si>
  <si>
    <t xml:space="preserve">030101005</t>
  </si>
  <si>
    <t xml:space="preserve">T-FLEXIBLE AGUA HE HI M10 1/2 50 CM</t>
  </si>
  <si>
    <t xml:space="preserve">030101051</t>
  </si>
  <si>
    <t xml:space="preserve">T-FLEXIBLE AGUA HE HI 1/2 35 CM</t>
  </si>
  <si>
    <t xml:space="preserve">020300201</t>
  </si>
  <si>
    <t xml:space="preserve">T-COLGADOR SWERTT</t>
  </si>
  <si>
    <t xml:space="preserve">020201001</t>
  </si>
  <si>
    <t xml:space="preserve">T-CODO LAVAPLATOS SALIDA SIFON</t>
  </si>
  <si>
    <t xml:space="preserve">010703013</t>
  </si>
  <si>
    <t xml:space="preserve">T-ESPEJO 70X100 CM, 3 LUCES LED DISTINTAS</t>
  </si>
  <si>
    <t xml:space="preserve">040303003</t>
  </si>
  <si>
    <t xml:space="preserve">T-FLUXOMETRO PALANCA POSTERIOR 1</t>
  </si>
  <si>
    <t xml:space="preserve">010704016</t>
  </si>
  <si>
    <t xml:space="preserve">T-MONOMANDO TINA DUCHA NOTTE</t>
  </si>
  <si>
    <t xml:space="preserve">010703008</t>
  </si>
  <si>
    <t xml:space="preserve">T-ESPEJO 60X90 RECTANGULAR ONDAS</t>
  </si>
  <si>
    <t xml:space="preserve">040202001</t>
  </si>
  <si>
    <t xml:space="preserve">T-LLAVE MONOMANDO LAVATORIO NOTTE NEGRO</t>
  </si>
  <si>
    <t xml:space="preserve">020102002</t>
  </si>
  <si>
    <t xml:space="preserve">T-LAVAPLATOS SIMPLE SOBREPUESTO 80X50 CM SECADOR IZQUIERDO</t>
  </si>
  <si>
    <t xml:space="preserve">5</t>
  </si>
  <si>
    <t xml:space="preserve">040202008</t>
  </si>
  <si>
    <t xml:space="preserve">T-LLAVE MONOMANDO LAVATORIO MODERN PITUTO CROMADO</t>
  </si>
  <si>
    <t xml:space="preserve">040501002</t>
  </si>
  <si>
    <t xml:space="preserve">T-CUELLO CISNE</t>
  </si>
  <si>
    <t xml:space="preserve">040201012</t>
  </si>
  <si>
    <t xml:space="preserve">T-COMBINACIÓN LPLATO EN V VANDER MUY MEJOR</t>
  </si>
  <si>
    <t xml:space="preserve">010104003</t>
  </si>
  <si>
    <t xml:space="preserve">T-PLATO DUCHA REDONDO ACERO 20 CM</t>
  </si>
  <si>
    <t xml:space="preserve">010205002</t>
  </si>
  <si>
    <t xml:space="preserve">T-SIFON LAVATORIO 1 1/4 ELEGANTE METALICO</t>
  </si>
  <si>
    <t xml:space="preserve">010301004</t>
  </si>
  <si>
    <t xml:space="preserve">T-KIT ESTANQUE WC</t>
  </si>
  <si>
    <t xml:space="preserve">010301006</t>
  </si>
  <si>
    <t xml:space="preserve">T-ESCOBILLA LIMPIA WC INOX</t>
  </si>
  <si>
    <t xml:space="preserve">010301009</t>
  </si>
  <si>
    <t xml:space="preserve">T-VALVULA DESCARGA WC FLAPPER</t>
  </si>
  <si>
    <t xml:space="preserve">210000990</t>
  </si>
  <si>
    <t xml:space="preserve">T-Asiento WC Eco</t>
  </si>
  <si>
    <t xml:space="preserve">21 - Otros</t>
  </si>
  <si>
    <t xml:space="preserve">030102004</t>
  </si>
  <si>
    <t xml:space="preserve">T-LLAVE PASO GAS HI HE 1/2</t>
  </si>
  <si>
    <t xml:space="preserve">010103002</t>
  </si>
  <si>
    <t xml:space="preserve">T-BRAZO DUCHA AL MURO 30 CM</t>
  </si>
  <si>
    <t xml:space="preserve">100501026</t>
  </si>
  <si>
    <t xml:space="preserve">T-Base curva 90x90</t>
  </si>
  <si>
    <t xml:space="preserve">010603004</t>
  </si>
  <si>
    <t xml:space="preserve">T-RECEPTACULO DUCHA 80X80 CM</t>
  </si>
  <si>
    <t xml:space="preserve">010701001</t>
  </si>
  <si>
    <t xml:space="preserve">T-DISPENSADOR DE PALANCA</t>
  </si>
  <si>
    <t xml:space="preserve">040204002</t>
  </si>
  <si>
    <t xml:space="preserve">T-LLAVE MONOMANDO TINA DUCHA DOMENICA</t>
  </si>
  <si>
    <t xml:space="preserve">040202004</t>
  </si>
  <si>
    <t xml:space="preserve">T-LLAVE MONOMANDO LAVATORIO ALTO MODERN PITUTO CROMADO</t>
  </si>
  <si>
    <t xml:space="preserve">040201008</t>
  </si>
  <si>
    <t xml:space="preserve">T-LLAVE MONOMANDO LAVAPLATOS VERTICAL INOX</t>
  </si>
  <si>
    <t xml:space="preserve">020102001</t>
  </si>
  <si>
    <t xml:space="preserve">T-LAVAPLATOS SIMPLE SOBREPUESTO 80X50 CM SECADOR DERECHO</t>
  </si>
  <si>
    <t xml:space="preserve">040203017</t>
  </si>
  <si>
    <t xml:space="preserve">C-LLAVE MONOMANDO LAVATORIO ALTO MODERN PITUTO CROMADO</t>
  </si>
  <si>
    <t xml:space="preserve">040301003</t>
  </si>
  <si>
    <t xml:space="preserve">T-LLAVE TEMPORIZADA LAVATORIO PUNTA CUADRADA CILINDRICA</t>
  </si>
  <si>
    <t xml:space="preserve">010102001</t>
  </si>
  <si>
    <t xml:space="preserve">T-BARRA 135 JABONERA</t>
  </si>
  <si>
    <t xml:space="preserve">K-PACK 6 PAPEL HIGIENICO</t>
  </si>
  <si>
    <t xml:space="preserve">010102005</t>
  </si>
  <si>
    <t xml:space="preserve">T-BARRA SEGURIDAD RECTA 40 CM</t>
  </si>
  <si>
    <t xml:space="preserve">030101004</t>
  </si>
  <si>
    <t xml:space="preserve">T-FLEXIBLE AGUA HE HI M10 1/2 35 CM</t>
  </si>
  <si>
    <t xml:space="preserve">040204003</t>
  </si>
  <si>
    <t xml:space="preserve">T-LLAVE MONOMANDO TINA DUCHA COLOMBA</t>
  </si>
  <si>
    <t xml:space="preserve">040201009</t>
  </si>
  <si>
    <t xml:space="preserve">T-LLAVE MONOMANDO LAVAPLATOS VERTICAL NOTTE NEGRO</t>
  </si>
  <si>
    <t xml:space="preserve">040203018</t>
  </si>
  <si>
    <t xml:space="preserve">C-LLAVE MONOMANDO LAVATORIO ALTO MODERN PITUTO NEGRO</t>
  </si>
  <si>
    <t xml:space="preserve">040202006</t>
  </si>
  <si>
    <t xml:space="preserve">T-LLAVE MONOMANDO LAVATORIO DOMENICA</t>
  </si>
  <si>
    <t xml:space="preserve">010701007</t>
  </si>
  <si>
    <t xml:space="preserve">T-DISPENSADOR JABON INOX 800 ML</t>
  </si>
  <si>
    <t xml:space="preserve">010301003</t>
  </si>
  <si>
    <t xml:space="preserve">T-KIT WC ANCLAJE ANTIFUGA ADMISION</t>
  </si>
  <si>
    <t xml:space="preserve">915100130</t>
  </si>
  <si>
    <t xml:space="preserve">Asiento WC Colomba</t>
  </si>
  <si>
    <t xml:space="preserve">020203004</t>
  </si>
  <si>
    <t xml:space="preserve">T-SIFON ECON. LAVATORIO 1. 1/4</t>
  </si>
  <si>
    <t xml:space="preserve">030400201</t>
  </si>
  <si>
    <t xml:space="preserve">T-Toallero Aro Swertt</t>
  </si>
  <si>
    <t xml:space="preserve">030101009</t>
  </si>
  <si>
    <t xml:space="preserve">T-FLEXIBLE DUCHA SPIEGEL 185 CM</t>
  </si>
  <si>
    <t xml:space="preserve">100501027</t>
  </si>
  <si>
    <t xml:space="preserve">T-Base curva 80x120 Der.</t>
  </si>
  <si>
    <t xml:space="preserve">010703002</t>
  </si>
  <si>
    <t xml:space="preserve">T-ESPEJO 45X60 RECTANGULAR LED</t>
  </si>
  <si>
    <t xml:space="preserve">020201005</t>
  </si>
  <si>
    <t xml:space="preserve">T-BANDEJA-CANASTO ESQUINERO</t>
  </si>
  <si>
    <t xml:space="preserve">040501005</t>
  </si>
  <si>
    <t xml:space="preserve">T-FLEXIBLE LLAVE PROFESIONAL</t>
  </si>
  <si>
    <t xml:space="preserve">020203001</t>
  </si>
  <si>
    <t xml:space="preserve">T-Sifon Lavaplatos 1 1/2 Tubo Plastico</t>
  </si>
  <si>
    <t xml:space="preserve">010205001</t>
  </si>
  <si>
    <t xml:space="preserve">T-SIFON LAVATORIO 1 1/4 CODO PLASTICO</t>
  </si>
  <si>
    <t xml:space="preserve">010704015</t>
  </si>
  <si>
    <t xml:space="preserve">T-SET ACCESORIOS DE BAÑOS NOTTE (6 PIEZAS)</t>
  </si>
  <si>
    <t xml:space="preserve">040302001</t>
  </si>
  <si>
    <t xml:space="preserve">T-VALVULA DESCARGA TEMPORIZADA URINARIO</t>
  </si>
  <si>
    <t xml:space="preserve">010104001</t>
  </si>
  <si>
    <t xml:space="preserve">T-PLATO DUCHA CUADRADO ACERO 25 CM</t>
  </si>
  <si>
    <t xml:space="preserve">8</t>
  </si>
  <si>
    <t xml:space="preserve">010105001</t>
  </si>
  <si>
    <t xml:space="preserve">T-Brazo de Ducha Fija Con Difusor Al Muro Abs Cromado</t>
  </si>
  <si>
    <t xml:space="preserve">040202007</t>
  </si>
  <si>
    <t xml:space="preserve">T-LLAVE MONOMANDO LAVATORIO MODERN PALETA INOX</t>
  </si>
  <si>
    <t xml:space="preserve">010301015</t>
  </si>
  <si>
    <t xml:space="preserve">T-VALVULA DE CARGA LATERAL</t>
  </si>
  <si>
    <t xml:space="preserve">915100131</t>
  </si>
  <si>
    <t xml:space="preserve">Niple Tuerca Hi-He 1/2 x 3/8 Golilla</t>
  </si>
  <si>
    <t xml:space="preserve">10</t>
  </si>
  <si>
    <t xml:space="preserve">040301002</t>
  </si>
  <si>
    <t xml:space="preserve">T-LLAVE TEMPORIZADA LAVATORIO AL MURO</t>
  </si>
  <si>
    <t xml:space="preserve">040201006</t>
  </si>
  <si>
    <t xml:space="preserve">T-LLAVE MONOMANDO LAVAPLATOS VERTICAL COLOMBA</t>
  </si>
  <si>
    <t xml:space="preserve">040201007</t>
  </si>
  <si>
    <t xml:space="preserve">T-LLAVE MONOMANDO LAVAPLATOS VERTICAL DOMENICA</t>
  </si>
  <si>
    <t xml:space="preserve">010503001</t>
  </si>
  <si>
    <t xml:space="preserve">T-RUEDAS SHOWER DOOR 2 CARROS DOBLES INFERIOR</t>
  </si>
  <si>
    <t xml:space="preserve">010602003</t>
  </si>
  <si>
    <t xml:space="preserve">T-SIFON TINA 1 1/2 PLASTICO</t>
  </si>
  <si>
    <t xml:space="preserve">020101001</t>
  </si>
  <si>
    <t xml:space="preserve">T-LAVAPLATOS SIMPLE EMPOTRADO 100X44 CM SECADOR DERECHO</t>
  </si>
  <si>
    <t xml:space="preserve">020101002</t>
  </si>
  <si>
    <t xml:space="preserve">T-LAVAPLATOS SIMPLE EMPOTRADO 100X44 CM SECADOR IZQUIERDO</t>
  </si>
  <si>
    <t xml:space="preserve">915100132</t>
  </si>
  <si>
    <t xml:space="preserve">Campana para llave angular WC 1/2</t>
  </si>
  <si>
    <t xml:space="preserve">20</t>
  </si>
  <si>
    <t xml:space="preserve">010503002</t>
  </si>
  <si>
    <t xml:space="preserve">T-RUEDAS SHOWER DOOR 2 CARROS DOBLES SUPERIOR</t>
  </si>
  <si>
    <t xml:space="preserve">030101008</t>
  </si>
  <si>
    <t xml:space="preserve">T-MANGUERA ENTRADA AGUA LAVADORAS</t>
  </si>
  <si>
    <t xml:space="preserve">030102001</t>
  </si>
  <si>
    <t xml:space="preserve">K-PAPEL HIGENICO INDUSTRIAL 216 MT</t>
  </si>
  <si>
    <t xml:space="preserve">1</t>
  </si>
  <si>
    <t xml:space="preserve">REPUESTO</t>
  </si>
  <si>
    <t xml:space="preserve">1 - Sin clasificar</t>
  </si>
  <si>
    <t xml:space="preserve">020202008</t>
  </si>
  <si>
    <t xml:space="preserve">T-DESAGUE LAVAPLATOS 3 1/2 REBALSE</t>
  </si>
  <si>
    <t xml:space="preserve">C-Lavaplatos empotrado 37x32 Chocolate</t>
  </si>
  <si>
    <t xml:space="preserve">915100105</t>
  </si>
  <si>
    <t xml:space="preserve">Rejilla Lavaplatos Agustina</t>
  </si>
  <si>
    <t xml:space="preserve">915100108</t>
  </si>
  <si>
    <t xml:space="preserve">Rejilla Lavaplatos Giacommo</t>
  </si>
  <si>
    <t xml:space="preserve">915100110</t>
  </si>
  <si>
    <t xml:space="preserve">Canastillo Pascal</t>
  </si>
  <si>
    <t xml:space="preserve">915100111</t>
  </si>
  <si>
    <t xml:space="preserve">Rejilla Lavaplatos Fabricio</t>
  </si>
  <si>
    <t xml:space="preserve">030102003</t>
  </si>
  <si>
    <t xml:space="preserve">K-TOALLA INTERFOLEADA 200 UND POR PAQUETE</t>
  </si>
  <si>
    <t xml:space="preserve">040101001</t>
  </si>
  <si>
    <t xml:space="preserve">C-VALVULA DESVIO DIVERTER 3 VIAS 1/2 3/8</t>
  </si>
  <si>
    <t xml:space="preserve">915100109</t>
  </si>
  <si>
    <t xml:space="preserve">Rejilla Michele</t>
  </si>
  <si>
    <t xml:space="preserve">ANÁLISIS POR FAMILIA DE PRODUCTO</t>
  </si>
  <si>
    <t xml:space="preserve">SKUs</t>
  </si>
  <si>
    <t xml:space="preserve">Stock total</t>
  </si>
  <si>
    <t xml:space="preserve">Costo unit promedio</t>
  </si>
  <si>
    <t xml:space="preserve">% del valor</t>
  </si>
  <si>
    <t xml:space="preserve">TOTAL</t>
  </si>
  <si>
    <t xml:space="preserve">TOP 20 SKUs POR VALOR INMOVILIZADO</t>
  </si>
  <si>
    <t xml:space="preserve">Estos son los SKUs donde tienes más capital dormido. Prioridad para verificar rotación real.</t>
  </si>
  <si>
    <t xml:space="preserve">#</t>
  </si>
  <si>
    <t xml:space="preserve">Costo unit</t>
  </si>
  <si>
    <t xml:space="preserve">Valor inmov.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</si>
</sst>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(#,##0\);\-"/>
    <numFmt numFmtId="166" formatCode="\$#,##0;[RED]&quot;($&quot;#,##0\);\-"/>
    <numFmt numFmtId="167" formatCode="\$#,##0;\-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333333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FFE6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8CECC"/>
        </patternFill>
      </fill>
    </dxf>
    <dxf>
      <fill>
        <patternFill>
          <bgColor rgb="FFFFE6CC"/>
        </patternFill>
      </fill>
    </dxf>
    <dxf>
      <fill>
        <patternFill>
          <bgColor rgb="FFFFF2CC"/>
        </patternFill>
      </fill>
    </dxf>
    <dxf>
      <fill>
        <patternFill>
          <bgColor rgb="FFD5E8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E6CC"/>
      <rgbColor rgb="FF99CCFF"/>
      <rgbColor rgb="FFFF99CC"/>
      <rgbColor rgb="FFCC99FF"/>
      <rgbColor rgb="FFF8CECC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COUNTA(Detalle!A2:A1000)</f>
        <v>151</v>
      </c>
    </row>
    <row r="6" customFormat="false" ht="15" hidden="false" customHeight="false" outlineLevel="0" collapsed="false">
      <c r="A6" s="4" t="s">
        <v>5</v>
      </c>
      <c r="B6" s="6" t="n">
        <f aca="false">SUMPRODUCT(Detalle!D2:D200,Detalle!E2:E200)</f>
        <v>9829500</v>
      </c>
    </row>
    <row r="7" customFormat="false" ht="15" hidden="false" customHeight="false" outlineLevel="0" collapsed="false">
      <c r="A7" s="4" t="s">
        <v>6</v>
      </c>
      <c r="B7" s="6" t="n">
        <f aca="false">AVERAGE(Detalle!E2:E200)</f>
        <v>10239.8079470199</v>
      </c>
    </row>
    <row r="8" customFormat="false" ht="15" hidden="false" customHeight="false" outlineLevel="0" collapsed="false">
      <c r="A8" s="4" t="s">
        <v>7</v>
      </c>
      <c r="B8" s="6" t="n">
        <f aca="false">MAX(Detalle!E2:E200)</f>
        <v>93036</v>
      </c>
    </row>
    <row r="9" customFormat="false" ht="15" hidden="false" customHeight="false" outlineLevel="0" collapsed="false">
      <c r="A9" s="4" t="s">
        <v>8</v>
      </c>
      <c r="B9" s="5" t="n">
        <f aca="false">SUM(Detalle!D2:D200)</f>
        <v>1910</v>
      </c>
    </row>
    <row r="10" customFormat="false" ht="15" hidden="false" customHeight="false" outlineLevel="0" collapsed="false">
      <c r="A10" s="4" t="s">
        <v>9</v>
      </c>
      <c r="B10" s="5" t="n">
        <f aca="false">COUNTIFS(Detalle!D2:D200,"&gt;=1",Detalle!D2:D200,"&lt;=3")</f>
        <v>77</v>
      </c>
    </row>
    <row r="11" customFormat="false" ht="15" hidden="false" customHeight="false" outlineLevel="0" collapsed="false">
      <c r="A11" s="4" t="s">
        <v>10</v>
      </c>
      <c r="B11" s="5" t="n">
        <f aca="false">COUNTIFS(Detalle!D2:D200,"&gt;=4",Detalle!D2:D200,"&lt;=10")</f>
        <v>53</v>
      </c>
    </row>
    <row r="12" customFormat="false" ht="15" hidden="false" customHeight="false" outlineLevel="0" collapsed="false">
      <c r="A12" s="4" t="s">
        <v>11</v>
      </c>
      <c r="B12" s="5" t="n">
        <f aca="false">COUNTIF(Detalle!D2:D200,"&gt;10")</f>
        <v>21</v>
      </c>
    </row>
    <row r="13" customFormat="false" ht="15" hidden="false" customHeight="false" outlineLevel="0" collapsed="false">
      <c r="A13" s="4" t="s">
        <v>12</v>
      </c>
      <c r="B13" s="5" t="n">
        <f aca="false">COUNTIF(Detalle!D2:D200,0)</f>
        <v>0</v>
      </c>
    </row>
    <row r="14" customFormat="false" ht="15" hidden="false" customHeight="false" outlineLevel="0" collapsed="false">
      <c r="A14" s="4" t="s">
        <v>13</v>
      </c>
      <c r="B14" s="5" t="n">
        <f aca="false">COUNTIF(Detalle!F2:F200,"&gt;0")</f>
        <v>12</v>
      </c>
    </row>
    <row r="17" customFormat="false" ht="15" hidden="false" customHeight="false" outlineLevel="0" collapsed="false">
      <c r="A17" s="7" t="s">
        <v>14</v>
      </c>
    </row>
    <row r="18" customFormat="false" ht="15" hidden="false" customHeight="true" outlineLevel="0" collapsed="false">
      <c r="A18" s="8" t="s">
        <v>15</v>
      </c>
      <c r="B18" s="8"/>
      <c r="C18" s="8"/>
      <c r="D18" s="8"/>
      <c r="E18" s="8"/>
    </row>
    <row r="19" customFormat="false" ht="15" hidden="false" customHeight="true" outlineLevel="0" collapsed="false">
      <c r="A19" s="8" t="s">
        <v>16</v>
      </c>
      <c r="B19" s="8"/>
      <c r="C19" s="8"/>
      <c r="D19" s="8"/>
      <c r="E19" s="8"/>
    </row>
    <row r="20" customFormat="false" ht="15" hidden="false" customHeight="true" outlineLevel="0" collapsed="false">
      <c r="A20" s="8" t="s">
        <v>17</v>
      </c>
      <c r="B20" s="8"/>
      <c r="C20" s="8"/>
      <c r="D20" s="8"/>
      <c r="E20" s="8"/>
    </row>
    <row r="21" customFormat="false" ht="15" hidden="false" customHeight="true" outlineLevel="0" collapsed="false">
      <c r="A21" s="8" t="s">
        <v>18</v>
      </c>
      <c r="B21" s="8"/>
      <c r="C21" s="8"/>
      <c r="D21" s="8"/>
      <c r="E21" s="8"/>
    </row>
    <row r="22" customFormat="false" ht="15" hidden="false" customHeight="true" outlineLevel="0" collapsed="false">
      <c r="A22" s="8" t="s">
        <v>19</v>
      </c>
      <c r="B22" s="8"/>
      <c r="C22" s="8"/>
      <c r="D22" s="8"/>
      <c r="E22" s="8"/>
    </row>
  </sheetData>
  <mergeCells count="7">
    <mergeCell ref="A1:E1"/>
    <mergeCell ref="A2:E2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</row>
    <row r="2" customFormat="false" ht="15" hidden="false" customHeight="false" outlineLevel="0" collapsed="false">
      <c r="A2" s="10" t="s">
        <v>31</v>
      </c>
      <c r="B2" s="10" t="s">
        <v>32</v>
      </c>
      <c r="C2" s="10" t="s">
        <v>33</v>
      </c>
      <c r="D2" s="10" t="n">
        <v>1</v>
      </c>
      <c r="E2" s="11" t="n">
        <v>35656</v>
      </c>
      <c r="F2" s="10" t="n">
        <v>0</v>
      </c>
      <c r="G2" s="10" t="s">
        <v>34</v>
      </c>
      <c r="H2" s="10" t="n">
        <v>0</v>
      </c>
      <c r="I2" s="10" t="n">
        <v>0</v>
      </c>
      <c r="J2" s="11" t="n">
        <f aca="false">D2*E2</f>
        <v>35656</v>
      </c>
      <c r="K2" s="12" t="str">
        <f aca="false">IF(D2=0,"AGOTADO",IF(D2&lt;=3,"CRÍTICO",IF(D2&lt;=10,"MEDIO","SANO")))</f>
        <v>CRÍTICO</v>
      </c>
    </row>
    <row r="3" customFormat="false" ht="15" hidden="false" customHeight="false" outlineLevel="0" collapsed="false">
      <c r="A3" s="10" t="s">
        <v>35</v>
      </c>
      <c r="B3" s="10" t="s">
        <v>36</v>
      </c>
      <c r="C3" s="10" t="s">
        <v>37</v>
      </c>
      <c r="D3" s="10" t="n">
        <v>1</v>
      </c>
      <c r="E3" s="11" t="n">
        <v>30000</v>
      </c>
      <c r="F3" s="10" t="n">
        <v>0</v>
      </c>
      <c r="G3" s="10" t="s">
        <v>34</v>
      </c>
      <c r="H3" s="10" t="n">
        <v>0</v>
      </c>
      <c r="I3" s="10" t="n">
        <v>0</v>
      </c>
      <c r="J3" s="11" t="n">
        <f aca="false">D3*E3</f>
        <v>30000</v>
      </c>
      <c r="K3" s="12" t="str">
        <f aca="false">IF(D3=0,"AGOTADO",IF(D3&lt;=3,"CRÍTICO",IF(D3&lt;=10,"MEDIO","SANO")))</f>
        <v>CRÍTICO</v>
      </c>
    </row>
    <row r="4" customFormat="false" ht="15" hidden="false" customHeight="false" outlineLevel="0" collapsed="false">
      <c r="A4" s="10" t="s">
        <v>38</v>
      </c>
      <c r="B4" s="10" t="s">
        <v>39</v>
      </c>
      <c r="C4" s="10" t="s">
        <v>40</v>
      </c>
      <c r="D4" s="10" t="n">
        <v>1</v>
      </c>
      <c r="E4" s="11" t="n">
        <v>24060</v>
      </c>
      <c r="F4" s="10" t="n">
        <v>24060</v>
      </c>
      <c r="G4" s="10" t="s">
        <v>34</v>
      </c>
      <c r="H4" s="10" t="n">
        <v>0</v>
      </c>
      <c r="I4" s="10" t="n">
        <v>0</v>
      </c>
      <c r="J4" s="11" t="n">
        <f aca="false">D4*E4</f>
        <v>24060</v>
      </c>
      <c r="K4" s="12" t="str">
        <f aca="false">IF(D4=0,"AGOTADO",IF(D4&lt;=3,"CRÍTICO",IF(D4&lt;=10,"MEDIO","SANO")))</f>
        <v>CRÍTICO</v>
      </c>
    </row>
    <row r="5" customFormat="false" ht="15" hidden="false" customHeight="false" outlineLevel="0" collapsed="false">
      <c r="A5" s="10" t="s">
        <v>41</v>
      </c>
      <c r="B5" s="10" t="s">
        <v>42</v>
      </c>
      <c r="C5" s="10" t="s">
        <v>43</v>
      </c>
      <c r="D5" s="10" t="n">
        <v>1</v>
      </c>
      <c r="E5" s="11" t="n">
        <v>18671</v>
      </c>
      <c r="F5" s="10" t="n">
        <v>0</v>
      </c>
      <c r="G5" s="10" t="s">
        <v>34</v>
      </c>
      <c r="H5" s="10" t="n">
        <v>0</v>
      </c>
      <c r="I5" s="10" t="n">
        <v>0</v>
      </c>
      <c r="J5" s="11" t="n">
        <f aca="false">D5*E5</f>
        <v>18671</v>
      </c>
      <c r="K5" s="12" t="str">
        <f aca="false">IF(D5=0,"AGOTADO",IF(D5&lt;=3,"CRÍTICO",IF(D5&lt;=10,"MEDIO","SANO")))</f>
        <v>CRÍTICO</v>
      </c>
    </row>
    <row r="6" customFormat="false" ht="15" hidden="false" customHeight="false" outlineLevel="0" collapsed="false">
      <c r="A6" s="10" t="s">
        <v>44</v>
      </c>
      <c r="B6" s="10" t="s">
        <v>45</v>
      </c>
      <c r="C6" s="10" t="s">
        <v>43</v>
      </c>
      <c r="D6" s="10" t="n">
        <v>1</v>
      </c>
      <c r="E6" s="11" t="n">
        <v>15712</v>
      </c>
      <c r="F6" s="10" t="n">
        <v>0</v>
      </c>
      <c r="G6" s="10" t="s">
        <v>34</v>
      </c>
      <c r="H6" s="10" t="n">
        <v>0</v>
      </c>
      <c r="I6" s="10" t="n">
        <v>0</v>
      </c>
      <c r="J6" s="11" t="n">
        <f aca="false">D6*E6</f>
        <v>15712</v>
      </c>
      <c r="K6" s="12" t="str">
        <f aca="false">IF(D6=0,"AGOTADO",IF(D6&lt;=3,"CRÍTICO",IF(D6&lt;=10,"MEDIO","SANO")))</f>
        <v>CRÍTICO</v>
      </c>
    </row>
    <row r="7" customFormat="false" ht="15" hidden="false" customHeight="false" outlineLevel="0" collapsed="false">
      <c r="A7" s="10" t="s">
        <v>46</v>
      </c>
      <c r="B7" s="10" t="s">
        <v>47</v>
      </c>
      <c r="C7" s="10" t="s">
        <v>33</v>
      </c>
      <c r="D7" s="10" t="n">
        <v>1</v>
      </c>
      <c r="E7" s="11" t="n">
        <v>14015</v>
      </c>
      <c r="F7" s="10" t="n">
        <v>0</v>
      </c>
      <c r="G7" s="10" t="s">
        <v>34</v>
      </c>
      <c r="H7" s="10" t="n">
        <v>0</v>
      </c>
      <c r="I7" s="10" t="n">
        <v>0</v>
      </c>
      <c r="J7" s="11" t="n">
        <f aca="false">D7*E7</f>
        <v>14015</v>
      </c>
      <c r="K7" s="12" t="str">
        <f aca="false">IF(D7=0,"AGOTADO",IF(D7&lt;=3,"CRÍTICO",IF(D7&lt;=10,"MEDIO","SANO")))</f>
        <v>CRÍTICO</v>
      </c>
    </row>
    <row r="8" customFormat="false" ht="15" hidden="false" customHeight="false" outlineLevel="0" collapsed="false">
      <c r="A8" s="10" t="s">
        <v>48</v>
      </c>
      <c r="B8" s="10" t="s">
        <v>49</v>
      </c>
      <c r="C8" s="10" t="s">
        <v>43</v>
      </c>
      <c r="D8" s="10" t="n">
        <v>1</v>
      </c>
      <c r="E8" s="11" t="n">
        <v>12335</v>
      </c>
      <c r="F8" s="10" t="n">
        <v>0</v>
      </c>
      <c r="G8" s="10" t="s">
        <v>34</v>
      </c>
      <c r="H8" s="10" t="n">
        <v>0</v>
      </c>
      <c r="I8" s="10" t="n">
        <v>0</v>
      </c>
      <c r="J8" s="11" t="n">
        <f aca="false">D8*E8</f>
        <v>12335</v>
      </c>
      <c r="K8" s="12" t="str">
        <f aca="false">IF(D8=0,"AGOTADO",IF(D8&lt;=3,"CRÍTICO",IF(D8&lt;=10,"MEDIO","SANO")))</f>
        <v>CRÍTICO</v>
      </c>
    </row>
    <row r="9" customFormat="false" ht="15" hidden="false" customHeight="false" outlineLevel="0" collapsed="false">
      <c r="A9" s="10" t="s">
        <v>50</v>
      </c>
      <c r="B9" s="10" t="s">
        <v>51</v>
      </c>
      <c r="C9" s="10" t="s">
        <v>33</v>
      </c>
      <c r="D9" s="10" t="n">
        <v>1</v>
      </c>
      <c r="E9" s="11" t="n">
        <v>10633</v>
      </c>
      <c r="F9" s="10" t="n">
        <v>0</v>
      </c>
      <c r="G9" s="10" t="s">
        <v>34</v>
      </c>
      <c r="H9" s="10" t="n">
        <v>0</v>
      </c>
      <c r="I9" s="10" t="n">
        <v>0</v>
      </c>
      <c r="J9" s="11" t="n">
        <f aca="false">D9*E9</f>
        <v>10633</v>
      </c>
      <c r="K9" s="12" t="str">
        <f aca="false">IF(D9=0,"AGOTADO",IF(D9&lt;=3,"CRÍTICO",IF(D9&lt;=10,"MEDIO","SANO")))</f>
        <v>CRÍTICO</v>
      </c>
    </row>
    <row r="10" customFormat="false" ht="15" hidden="false" customHeight="false" outlineLevel="0" collapsed="false">
      <c r="A10" s="10" t="s">
        <v>52</v>
      </c>
      <c r="B10" s="10" t="s">
        <v>53</v>
      </c>
      <c r="C10" s="10" t="s">
        <v>43</v>
      </c>
      <c r="D10" s="10" t="n">
        <v>1</v>
      </c>
      <c r="E10" s="11" t="n">
        <v>7123</v>
      </c>
      <c r="F10" s="10" t="n">
        <v>0</v>
      </c>
      <c r="G10" s="10" t="s">
        <v>34</v>
      </c>
      <c r="H10" s="10" t="n">
        <v>0</v>
      </c>
      <c r="I10" s="10" t="n">
        <v>0</v>
      </c>
      <c r="J10" s="11" t="n">
        <f aca="false">D10*E10</f>
        <v>7123</v>
      </c>
      <c r="K10" s="12" t="str">
        <f aca="false">IF(D10=0,"AGOTADO",IF(D10&lt;=3,"CRÍTICO",IF(D10&lt;=10,"MEDIO","SANO")))</f>
        <v>CRÍTICO</v>
      </c>
    </row>
    <row r="11" customFormat="false" ht="15" hidden="false" customHeight="false" outlineLevel="0" collapsed="false">
      <c r="A11" s="10" t="s">
        <v>54</v>
      </c>
      <c r="B11" s="10" t="s">
        <v>55</v>
      </c>
      <c r="C11" s="10" t="s">
        <v>43</v>
      </c>
      <c r="D11" s="10" t="n">
        <v>1</v>
      </c>
      <c r="E11" s="11" t="n">
        <v>6060</v>
      </c>
      <c r="F11" s="10" t="n">
        <v>0</v>
      </c>
      <c r="G11" s="10" t="s">
        <v>34</v>
      </c>
      <c r="H11" s="10" t="n">
        <v>0</v>
      </c>
      <c r="I11" s="10" t="n">
        <v>0</v>
      </c>
      <c r="J11" s="11" t="n">
        <f aca="false">D11*E11</f>
        <v>6060</v>
      </c>
      <c r="K11" s="12" t="str">
        <f aca="false">IF(D11=0,"AGOTADO",IF(D11&lt;=3,"CRÍTICO",IF(D11&lt;=10,"MEDIO","SANO")))</f>
        <v>CRÍTICO</v>
      </c>
    </row>
    <row r="12" customFormat="false" ht="15" hidden="false" customHeight="false" outlineLevel="0" collapsed="false">
      <c r="A12" s="10" t="s">
        <v>56</v>
      </c>
      <c r="B12" s="10" t="s">
        <v>57</v>
      </c>
      <c r="C12" s="10" t="s">
        <v>43</v>
      </c>
      <c r="D12" s="10" t="n">
        <v>1</v>
      </c>
      <c r="E12" s="11" t="n">
        <v>5829</v>
      </c>
      <c r="F12" s="10" t="n">
        <v>0</v>
      </c>
      <c r="G12" s="10" t="s">
        <v>34</v>
      </c>
      <c r="H12" s="10" t="n">
        <v>0</v>
      </c>
      <c r="I12" s="10" t="n">
        <v>0</v>
      </c>
      <c r="J12" s="11" t="n">
        <f aca="false">D12*E12</f>
        <v>5829</v>
      </c>
      <c r="K12" s="12" t="str">
        <f aca="false">IF(D12=0,"AGOTADO",IF(D12&lt;=3,"CRÍTICO",IF(D12&lt;=10,"MEDIO","SANO")))</f>
        <v>CRÍTICO</v>
      </c>
    </row>
    <row r="13" customFormat="false" ht="15" hidden="false" customHeight="false" outlineLevel="0" collapsed="false">
      <c r="A13" s="10" t="s">
        <v>58</v>
      </c>
      <c r="B13" s="10" t="s">
        <v>59</v>
      </c>
      <c r="C13" s="10" t="s">
        <v>43</v>
      </c>
      <c r="D13" s="10" t="n">
        <v>1</v>
      </c>
      <c r="E13" s="11" t="n">
        <v>5666</v>
      </c>
      <c r="F13" s="10" t="n">
        <v>0</v>
      </c>
      <c r="G13" s="10" t="s">
        <v>34</v>
      </c>
      <c r="H13" s="10" t="n">
        <v>0</v>
      </c>
      <c r="I13" s="10" t="n">
        <v>0</v>
      </c>
      <c r="J13" s="11" t="n">
        <f aca="false">D13*E13</f>
        <v>5666</v>
      </c>
      <c r="K13" s="12" t="str">
        <f aca="false">IF(D13=0,"AGOTADO",IF(D13&lt;=3,"CRÍTICO",IF(D13&lt;=10,"MEDIO","SANO")))</f>
        <v>CRÍTICO</v>
      </c>
    </row>
    <row r="14" customFormat="false" ht="15" hidden="false" customHeight="false" outlineLevel="0" collapsed="false">
      <c r="A14" s="10" t="s">
        <v>60</v>
      </c>
      <c r="B14" s="10" t="s">
        <v>61</v>
      </c>
      <c r="C14" s="10" t="s">
        <v>43</v>
      </c>
      <c r="D14" s="10" t="n">
        <v>1</v>
      </c>
      <c r="E14" s="11" t="n">
        <v>5420</v>
      </c>
      <c r="F14" s="10" t="n">
        <v>0</v>
      </c>
      <c r="G14" s="10" t="s">
        <v>34</v>
      </c>
      <c r="H14" s="10" t="n">
        <v>0</v>
      </c>
      <c r="I14" s="10" t="n">
        <v>0</v>
      </c>
      <c r="J14" s="11" t="n">
        <f aca="false">D14*E14</f>
        <v>5420</v>
      </c>
      <c r="K14" s="12" t="str">
        <f aca="false">IF(D14=0,"AGOTADO",IF(D14&lt;=3,"CRÍTICO",IF(D14&lt;=10,"MEDIO","SANO")))</f>
        <v>CRÍTICO</v>
      </c>
    </row>
    <row r="15" customFormat="false" ht="15" hidden="false" customHeight="false" outlineLevel="0" collapsed="false">
      <c r="A15" s="10" t="s">
        <v>62</v>
      </c>
      <c r="B15" s="10" t="s">
        <v>63</v>
      </c>
      <c r="C15" s="10" t="s">
        <v>43</v>
      </c>
      <c r="D15" s="10" t="n">
        <v>1</v>
      </c>
      <c r="E15" s="11" t="n">
        <v>4357</v>
      </c>
      <c r="F15" s="10" t="n">
        <v>0</v>
      </c>
      <c r="G15" s="10" t="s">
        <v>34</v>
      </c>
      <c r="H15" s="10" t="n">
        <v>0</v>
      </c>
      <c r="I15" s="10" t="n">
        <v>0</v>
      </c>
      <c r="J15" s="11" t="n">
        <f aca="false">D15*E15</f>
        <v>4357</v>
      </c>
      <c r="K15" s="12" t="str">
        <f aca="false">IF(D15=0,"AGOTADO",IF(D15&lt;=3,"CRÍTICO",IF(D15&lt;=10,"MEDIO","SANO")))</f>
        <v>CRÍTICO</v>
      </c>
    </row>
    <row r="16" customFormat="false" ht="15" hidden="false" customHeight="false" outlineLevel="0" collapsed="false">
      <c r="A16" s="10" t="s">
        <v>64</v>
      </c>
      <c r="B16" s="10" t="s">
        <v>65</v>
      </c>
      <c r="C16" s="10" t="s">
        <v>43</v>
      </c>
      <c r="D16" s="10" t="n">
        <v>1</v>
      </c>
      <c r="E16" s="11" t="n">
        <v>4045</v>
      </c>
      <c r="F16" s="10" t="n">
        <v>0</v>
      </c>
      <c r="G16" s="10" t="s">
        <v>34</v>
      </c>
      <c r="H16" s="10" t="n">
        <v>0</v>
      </c>
      <c r="I16" s="10" t="n">
        <v>0</v>
      </c>
      <c r="J16" s="11" t="n">
        <f aca="false">D16*E16</f>
        <v>4045</v>
      </c>
      <c r="K16" s="12" t="str">
        <f aca="false">IF(D16=0,"AGOTADO",IF(D16&lt;=3,"CRÍTICO",IF(D16&lt;=10,"MEDIO","SANO")))</f>
        <v>CRÍTICO</v>
      </c>
    </row>
    <row r="17" customFormat="false" ht="15" hidden="false" customHeight="false" outlineLevel="0" collapsed="false">
      <c r="A17" s="10" t="s">
        <v>66</v>
      </c>
      <c r="B17" s="10" t="s">
        <v>67</v>
      </c>
      <c r="C17" s="10" t="s">
        <v>43</v>
      </c>
      <c r="D17" s="10" t="n">
        <v>1</v>
      </c>
      <c r="E17" s="11" t="n">
        <v>3505</v>
      </c>
      <c r="F17" s="10" t="n">
        <v>0</v>
      </c>
      <c r="G17" s="10" t="s">
        <v>34</v>
      </c>
      <c r="H17" s="10" t="n">
        <v>0</v>
      </c>
      <c r="I17" s="10" t="n">
        <v>0</v>
      </c>
      <c r="J17" s="11" t="n">
        <f aca="false">D17*E17</f>
        <v>3505</v>
      </c>
      <c r="K17" s="12" t="str">
        <f aca="false">IF(D17=0,"AGOTADO",IF(D17&lt;=3,"CRÍTICO",IF(D17&lt;=10,"MEDIO","SANO")))</f>
        <v>CRÍTICO</v>
      </c>
    </row>
    <row r="18" customFormat="false" ht="15" hidden="false" customHeight="false" outlineLevel="0" collapsed="false">
      <c r="A18" s="10" t="s">
        <v>68</v>
      </c>
      <c r="B18" s="10" t="s">
        <v>69</v>
      </c>
      <c r="C18" s="10" t="s">
        <v>70</v>
      </c>
      <c r="D18" s="10" t="n">
        <v>1</v>
      </c>
      <c r="E18" s="11" t="n">
        <v>2492</v>
      </c>
      <c r="F18" s="10" t="n">
        <v>0</v>
      </c>
      <c r="G18" s="10" t="s">
        <v>34</v>
      </c>
      <c r="H18" s="10" t="n">
        <v>0</v>
      </c>
      <c r="I18" s="10" t="n">
        <v>0</v>
      </c>
      <c r="J18" s="11" t="n">
        <f aca="false">D18*E18</f>
        <v>2492</v>
      </c>
      <c r="K18" s="12" t="str">
        <f aca="false">IF(D18=0,"AGOTADO",IF(D18&lt;=3,"CRÍTICO",IF(D18&lt;=10,"MEDIO","SANO")))</f>
        <v>CRÍTICO</v>
      </c>
    </row>
    <row r="19" customFormat="false" ht="15" hidden="false" customHeight="false" outlineLevel="0" collapsed="false">
      <c r="A19" s="10" t="s">
        <v>71</v>
      </c>
      <c r="B19" s="10" t="s">
        <v>72</v>
      </c>
      <c r="C19" s="10" t="s">
        <v>43</v>
      </c>
      <c r="D19" s="10" t="n">
        <v>1</v>
      </c>
      <c r="E19" s="11" t="n">
        <v>2328</v>
      </c>
      <c r="F19" s="10" t="n">
        <v>0</v>
      </c>
      <c r="G19" s="10" t="s">
        <v>34</v>
      </c>
      <c r="H19" s="10" t="n">
        <v>0</v>
      </c>
      <c r="I19" s="10" t="n">
        <v>0</v>
      </c>
      <c r="J19" s="11" t="n">
        <f aca="false">D19*E19</f>
        <v>2328</v>
      </c>
      <c r="K19" s="12" t="str">
        <f aca="false">IF(D19=0,"AGOTADO",IF(D19&lt;=3,"CRÍTICO",IF(D19&lt;=10,"MEDIO","SANO")))</f>
        <v>CRÍTICO</v>
      </c>
    </row>
    <row r="20" customFormat="false" ht="15" hidden="false" customHeight="false" outlineLevel="0" collapsed="false">
      <c r="A20" s="10" t="s">
        <v>73</v>
      </c>
      <c r="B20" s="10" t="s">
        <v>74</v>
      </c>
      <c r="C20" s="10" t="s">
        <v>43</v>
      </c>
      <c r="D20" s="10" t="n">
        <v>1</v>
      </c>
      <c r="E20" s="11" t="n">
        <v>2239</v>
      </c>
      <c r="F20" s="10" t="n">
        <v>0</v>
      </c>
      <c r="G20" s="10" t="s">
        <v>34</v>
      </c>
      <c r="H20" s="10" t="n">
        <v>0</v>
      </c>
      <c r="I20" s="10" t="n">
        <v>0</v>
      </c>
      <c r="J20" s="11" t="n">
        <f aca="false">D20*E20</f>
        <v>2239</v>
      </c>
      <c r="K20" s="12" t="str">
        <f aca="false">IF(D20=0,"AGOTADO",IF(D20&lt;=3,"CRÍTICO",IF(D20&lt;=10,"MEDIO","SANO")))</f>
        <v>CRÍTICO</v>
      </c>
    </row>
    <row r="21" customFormat="false" ht="15" hidden="false" customHeight="false" outlineLevel="0" collapsed="false">
      <c r="A21" s="10" t="s">
        <v>75</v>
      </c>
      <c r="B21" s="10" t="s">
        <v>76</v>
      </c>
      <c r="C21" s="10" t="s">
        <v>43</v>
      </c>
      <c r="D21" s="10" t="n">
        <v>1</v>
      </c>
      <c r="E21" s="11" t="n">
        <v>1642</v>
      </c>
      <c r="F21" s="10" t="n">
        <v>0</v>
      </c>
      <c r="G21" s="10" t="s">
        <v>34</v>
      </c>
      <c r="H21" s="10" t="n">
        <v>0</v>
      </c>
      <c r="I21" s="10" t="n">
        <v>0</v>
      </c>
      <c r="J21" s="11" t="n">
        <f aca="false">D21*E21</f>
        <v>1642</v>
      </c>
      <c r="K21" s="12" t="str">
        <f aca="false">IF(D21=0,"AGOTADO",IF(D21&lt;=3,"CRÍTICO",IF(D21&lt;=10,"MEDIO","SANO")))</f>
        <v>CRÍTICO</v>
      </c>
    </row>
    <row r="22" customFormat="false" ht="15" hidden="false" customHeight="false" outlineLevel="0" collapsed="false">
      <c r="A22" s="10" t="s">
        <v>77</v>
      </c>
      <c r="B22" s="10" t="s">
        <v>78</v>
      </c>
      <c r="C22" s="10" t="s">
        <v>43</v>
      </c>
      <c r="D22" s="10" t="n">
        <v>1</v>
      </c>
      <c r="E22" s="11" t="n">
        <v>1521</v>
      </c>
      <c r="F22" s="10" t="n">
        <v>0</v>
      </c>
      <c r="G22" s="10" t="s">
        <v>34</v>
      </c>
      <c r="H22" s="10" t="n">
        <v>0</v>
      </c>
      <c r="I22" s="10" t="n">
        <v>0</v>
      </c>
      <c r="J22" s="11" t="n">
        <f aca="false">D22*E22</f>
        <v>1521</v>
      </c>
      <c r="K22" s="12" t="str">
        <f aca="false">IF(D22=0,"AGOTADO",IF(D22&lt;=3,"CRÍTICO",IF(D22&lt;=10,"MEDIO","SANO")))</f>
        <v>CRÍTICO</v>
      </c>
    </row>
    <row r="23" customFormat="false" ht="15" hidden="false" customHeight="false" outlineLevel="0" collapsed="false">
      <c r="A23" s="10" t="s">
        <v>79</v>
      </c>
      <c r="B23" s="10" t="s">
        <v>80</v>
      </c>
      <c r="C23" s="10" t="s">
        <v>70</v>
      </c>
      <c r="D23" s="10" t="n">
        <v>1</v>
      </c>
      <c r="E23" s="11" t="n">
        <v>1130</v>
      </c>
      <c r="F23" s="10" t="n">
        <v>0</v>
      </c>
      <c r="G23" s="10" t="s">
        <v>34</v>
      </c>
      <c r="H23" s="10" t="n">
        <v>0</v>
      </c>
      <c r="I23" s="10" t="n">
        <v>0</v>
      </c>
      <c r="J23" s="11" t="n">
        <f aca="false">D23*E23</f>
        <v>1130</v>
      </c>
      <c r="K23" s="12" t="str">
        <f aca="false">IF(D23=0,"AGOTADO",IF(D23&lt;=3,"CRÍTICO",IF(D23&lt;=10,"MEDIO","SANO")))</f>
        <v>CRÍTICO</v>
      </c>
    </row>
    <row r="24" customFormat="false" ht="15" hidden="false" customHeight="false" outlineLevel="0" collapsed="false">
      <c r="A24" s="10" t="s">
        <v>81</v>
      </c>
      <c r="B24" s="10" t="s">
        <v>82</v>
      </c>
      <c r="C24" s="10" t="s">
        <v>70</v>
      </c>
      <c r="D24" s="10" t="n">
        <v>1</v>
      </c>
      <c r="E24" s="11" t="n">
        <v>1074</v>
      </c>
      <c r="F24" s="10" t="n">
        <v>0</v>
      </c>
      <c r="G24" s="10" t="s">
        <v>34</v>
      </c>
      <c r="H24" s="10" t="n">
        <v>0</v>
      </c>
      <c r="I24" s="10" t="n">
        <v>0</v>
      </c>
      <c r="J24" s="11" t="n">
        <f aca="false">D24*E24</f>
        <v>1074</v>
      </c>
      <c r="K24" s="12" t="str">
        <f aca="false">IF(D24=0,"AGOTADO",IF(D24&lt;=3,"CRÍTICO",IF(D24&lt;=10,"MEDIO","SANO")))</f>
        <v>CRÍTICO</v>
      </c>
    </row>
    <row r="25" customFormat="false" ht="15" hidden="false" customHeight="false" outlineLevel="0" collapsed="false">
      <c r="A25" s="10" t="s">
        <v>83</v>
      </c>
      <c r="B25" s="10" t="s">
        <v>84</v>
      </c>
      <c r="C25" s="10" t="s">
        <v>43</v>
      </c>
      <c r="D25" s="10" t="n">
        <v>1</v>
      </c>
      <c r="E25" s="11" t="n">
        <v>928</v>
      </c>
      <c r="F25" s="10" t="n">
        <v>0</v>
      </c>
      <c r="G25" s="10" t="s">
        <v>34</v>
      </c>
      <c r="H25" s="10" t="n">
        <v>0</v>
      </c>
      <c r="I25" s="10" t="n">
        <v>0</v>
      </c>
      <c r="J25" s="11" t="n">
        <f aca="false">D25*E25</f>
        <v>928</v>
      </c>
      <c r="K25" s="12" t="str">
        <f aca="false">IF(D25=0,"AGOTADO",IF(D25&lt;=3,"CRÍTICO",IF(D25&lt;=10,"MEDIO","SANO")))</f>
        <v>CRÍTICO</v>
      </c>
    </row>
    <row r="26" customFormat="false" ht="15" hidden="false" customHeight="false" outlineLevel="0" collapsed="false">
      <c r="A26" s="10" t="s">
        <v>85</v>
      </c>
      <c r="B26" s="10" t="s">
        <v>86</v>
      </c>
      <c r="C26" s="10" t="s">
        <v>43</v>
      </c>
      <c r="D26" s="10" t="n">
        <v>1</v>
      </c>
      <c r="E26" s="11" t="n">
        <v>558</v>
      </c>
      <c r="F26" s="10" t="n">
        <v>0</v>
      </c>
      <c r="G26" s="10" t="s">
        <v>34</v>
      </c>
      <c r="H26" s="10" t="n">
        <v>0</v>
      </c>
      <c r="I26" s="10" t="n">
        <v>0</v>
      </c>
      <c r="J26" s="11" t="n">
        <f aca="false">D26*E26</f>
        <v>558</v>
      </c>
      <c r="K26" s="12" t="str">
        <f aca="false">IF(D26=0,"AGOTADO",IF(D26&lt;=3,"CRÍTICO",IF(D26&lt;=10,"MEDIO","SANO")))</f>
        <v>CRÍTICO</v>
      </c>
    </row>
    <row r="27" customFormat="false" ht="15" hidden="false" customHeight="false" outlineLevel="0" collapsed="false">
      <c r="A27" s="10" t="s">
        <v>87</v>
      </c>
      <c r="B27" s="10" t="s">
        <v>88</v>
      </c>
      <c r="C27" s="10" t="s">
        <v>43</v>
      </c>
      <c r="D27" s="10" t="n">
        <v>2</v>
      </c>
      <c r="E27" s="11" t="n">
        <v>93036</v>
      </c>
      <c r="F27" s="10" t="n">
        <v>0</v>
      </c>
      <c r="G27" s="10" t="s">
        <v>34</v>
      </c>
      <c r="H27" s="10" t="n">
        <v>0</v>
      </c>
      <c r="I27" s="10" t="n">
        <v>0</v>
      </c>
      <c r="J27" s="11" t="n">
        <f aca="false">D27*E27</f>
        <v>186072</v>
      </c>
      <c r="K27" s="12" t="str">
        <f aca="false">IF(D27=0,"AGOTADO",IF(D27&lt;=3,"CRÍTICO",IF(D27&lt;=10,"MEDIO","SANO")))</f>
        <v>CRÍTICO</v>
      </c>
    </row>
    <row r="28" customFormat="false" ht="15" hidden="false" customHeight="false" outlineLevel="0" collapsed="false">
      <c r="A28" s="10" t="s">
        <v>89</v>
      </c>
      <c r="B28" s="10" t="s">
        <v>90</v>
      </c>
      <c r="C28" s="10" t="s">
        <v>91</v>
      </c>
      <c r="D28" s="10" t="n">
        <v>2</v>
      </c>
      <c r="E28" s="11" t="n">
        <v>35000</v>
      </c>
      <c r="F28" s="10" t="n">
        <v>0</v>
      </c>
      <c r="G28" s="10" t="s">
        <v>34</v>
      </c>
      <c r="H28" s="10" t="n">
        <v>0</v>
      </c>
      <c r="I28" s="10" t="n">
        <v>0</v>
      </c>
      <c r="J28" s="11" t="n">
        <f aca="false">D28*E28</f>
        <v>70000</v>
      </c>
      <c r="K28" s="12" t="str">
        <f aca="false">IF(D28=0,"AGOTADO",IF(D28&lt;=3,"CRÍTICO",IF(D28&lt;=10,"MEDIO","SANO")))</f>
        <v>CRÍTICO</v>
      </c>
    </row>
    <row r="29" customFormat="false" ht="15" hidden="false" customHeight="false" outlineLevel="0" collapsed="false">
      <c r="A29" s="10" t="s">
        <v>92</v>
      </c>
      <c r="B29" s="10" t="s">
        <v>93</v>
      </c>
      <c r="C29" s="10" t="s">
        <v>40</v>
      </c>
      <c r="D29" s="10" t="n">
        <v>2</v>
      </c>
      <c r="E29" s="11" t="n">
        <v>32273</v>
      </c>
      <c r="F29" s="10" t="n">
        <v>35273</v>
      </c>
      <c r="G29" s="10" t="s">
        <v>34</v>
      </c>
      <c r="H29" s="10" t="n">
        <v>0</v>
      </c>
      <c r="I29" s="10" t="n">
        <v>0</v>
      </c>
      <c r="J29" s="11" t="n">
        <f aca="false">D29*E29</f>
        <v>64546</v>
      </c>
      <c r="K29" s="12" t="str">
        <f aca="false">IF(D29=0,"AGOTADO",IF(D29&lt;=3,"CRÍTICO",IF(D29&lt;=10,"MEDIO","SANO")))</f>
        <v>CRÍTICO</v>
      </c>
    </row>
    <row r="30" customFormat="false" ht="15" hidden="false" customHeight="false" outlineLevel="0" collapsed="false">
      <c r="A30" s="10" t="s">
        <v>94</v>
      </c>
      <c r="B30" s="10" t="s">
        <v>95</v>
      </c>
      <c r="C30" s="10" t="s">
        <v>37</v>
      </c>
      <c r="D30" s="10" t="n">
        <v>2</v>
      </c>
      <c r="E30" s="11" t="n">
        <v>30000</v>
      </c>
      <c r="F30" s="10" t="n">
        <v>0</v>
      </c>
      <c r="G30" s="10" t="s">
        <v>34</v>
      </c>
      <c r="H30" s="10" t="n">
        <v>0</v>
      </c>
      <c r="I30" s="10" t="n">
        <v>0</v>
      </c>
      <c r="J30" s="11" t="n">
        <f aca="false">D30*E30</f>
        <v>60000</v>
      </c>
      <c r="K30" s="12" t="str">
        <f aca="false">IF(D30=0,"AGOTADO",IF(D30&lt;=3,"CRÍTICO",IF(D30&lt;=10,"MEDIO","SANO")))</f>
        <v>CRÍTICO</v>
      </c>
    </row>
    <row r="31" customFormat="false" ht="15" hidden="false" customHeight="false" outlineLevel="0" collapsed="false">
      <c r="A31" s="10" t="s">
        <v>96</v>
      </c>
      <c r="B31" s="10" t="s">
        <v>97</v>
      </c>
      <c r="C31" s="10" t="s">
        <v>40</v>
      </c>
      <c r="D31" s="10" t="n">
        <v>2</v>
      </c>
      <c r="E31" s="11" t="n">
        <v>24353</v>
      </c>
      <c r="F31" s="10" t="n">
        <v>22181</v>
      </c>
      <c r="G31" s="10" t="s">
        <v>34</v>
      </c>
      <c r="H31" s="10" t="n">
        <v>0</v>
      </c>
      <c r="I31" s="10" t="n">
        <v>0</v>
      </c>
      <c r="J31" s="11" t="n">
        <f aca="false">D31*E31</f>
        <v>48706</v>
      </c>
      <c r="K31" s="12" t="str">
        <f aca="false">IF(D31=0,"AGOTADO",IF(D31&lt;=3,"CRÍTICO",IF(D31&lt;=10,"MEDIO","SANO")))</f>
        <v>CRÍTICO</v>
      </c>
    </row>
    <row r="32" customFormat="false" ht="15" hidden="false" customHeight="false" outlineLevel="0" collapsed="false">
      <c r="A32" s="10" t="s">
        <v>98</v>
      </c>
      <c r="B32" s="10" t="s">
        <v>99</v>
      </c>
      <c r="C32" s="10" t="s">
        <v>40</v>
      </c>
      <c r="D32" s="10" t="n">
        <v>2</v>
      </c>
      <c r="E32" s="11" t="n">
        <v>23743</v>
      </c>
      <c r="F32" s="10" t="n">
        <v>24060</v>
      </c>
      <c r="G32" s="10" t="s">
        <v>34</v>
      </c>
      <c r="H32" s="10" t="n">
        <v>0</v>
      </c>
      <c r="I32" s="10" t="n">
        <v>0</v>
      </c>
      <c r="J32" s="11" t="n">
        <f aca="false">D32*E32</f>
        <v>47486</v>
      </c>
      <c r="K32" s="12" t="str">
        <f aca="false">IF(D32=0,"AGOTADO",IF(D32&lt;=3,"CRÍTICO",IF(D32&lt;=10,"MEDIO","SANO")))</f>
        <v>CRÍTICO</v>
      </c>
    </row>
    <row r="33" customFormat="false" ht="15" hidden="false" customHeight="false" outlineLevel="0" collapsed="false">
      <c r="A33" s="10" t="s">
        <v>100</v>
      </c>
      <c r="B33" s="10" t="s">
        <v>101</v>
      </c>
      <c r="C33" s="10" t="s">
        <v>40</v>
      </c>
      <c r="D33" s="10" t="n">
        <v>2</v>
      </c>
      <c r="E33" s="11" t="n">
        <v>22181</v>
      </c>
      <c r="F33" s="10" t="n">
        <v>22181</v>
      </c>
      <c r="G33" s="10" t="s">
        <v>34</v>
      </c>
      <c r="H33" s="10" t="n">
        <v>0</v>
      </c>
      <c r="I33" s="10" t="n">
        <v>0</v>
      </c>
      <c r="J33" s="11" t="n">
        <f aca="false">D33*E33</f>
        <v>44362</v>
      </c>
      <c r="K33" s="12" t="str">
        <f aca="false">IF(D33=0,"AGOTADO",IF(D33&lt;=3,"CRÍTICO",IF(D33&lt;=10,"MEDIO","SANO")))</f>
        <v>CRÍTICO</v>
      </c>
    </row>
    <row r="34" customFormat="false" ht="15" hidden="false" customHeight="false" outlineLevel="0" collapsed="false">
      <c r="A34" s="10" t="s">
        <v>102</v>
      </c>
      <c r="B34" s="10" t="s">
        <v>103</v>
      </c>
      <c r="C34" s="10" t="s">
        <v>40</v>
      </c>
      <c r="D34" s="10" t="n">
        <v>2</v>
      </c>
      <c r="E34" s="11" t="n">
        <v>21369</v>
      </c>
      <c r="F34" s="10" t="n">
        <v>19253</v>
      </c>
      <c r="G34" s="10" t="s">
        <v>34</v>
      </c>
      <c r="H34" s="10" t="n">
        <v>0</v>
      </c>
      <c r="I34" s="10" t="n">
        <v>0</v>
      </c>
      <c r="J34" s="11" t="n">
        <f aca="false">D34*E34</f>
        <v>42738</v>
      </c>
      <c r="K34" s="12" t="str">
        <f aca="false">IF(D34=0,"AGOTADO",IF(D34&lt;=3,"CRÍTICO",IF(D34&lt;=10,"MEDIO","SANO")))</f>
        <v>CRÍTICO</v>
      </c>
    </row>
    <row r="35" customFormat="false" ht="15" hidden="false" customHeight="false" outlineLevel="0" collapsed="false">
      <c r="A35" s="10" t="s">
        <v>104</v>
      </c>
      <c r="B35" s="10" t="s">
        <v>105</v>
      </c>
      <c r="C35" s="10" t="s">
        <v>40</v>
      </c>
      <c r="D35" s="10" t="n">
        <v>2</v>
      </c>
      <c r="E35" s="11" t="n">
        <v>19253</v>
      </c>
      <c r="F35" s="10" t="n">
        <v>19253</v>
      </c>
      <c r="G35" s="10" t="s">
        <v>34</v>
      </c>
      <c r="H35" s="10" t="n">
        <v>0</v>
      </c>
      <c r="I35" s="10" t="n">
        <v>0</v>
      </c>
      <c r="J35" s="11" t="n">
        <f aca="false">D35*E35</f>
        <v>38506</v>
      </c>
      <c r="K35" s="12" t="str">
        <f aca="false">IF(D35=0,"AGOTADO",IF(D35&lt;=3,"CRÍTICO",IF(D35&lt;=10,"MEDIO","SANO")))</f>
        <v>CRÍTICO</v>
      </c>
    </row>
    <row r="36" customFormat="false" ht="15" hidden="false" customHeight="false" outlineLevel="0" collapsed="false">
      <c r="A36" s="10" t="s">
        <v>106</v>
      </c>
      <c r="B36" s="10" t="s">
        <v>107</v>
      </c>
      <c r="C36" s="10" t="s">
        <v>43</v>
      </c>
      <c r="D36" s="10" t="n">
        <v>2</v>
      </c>
      <c r="E36" s="11" t="n">
        <v>14598</v>
      </c>
      <c r="F36" s="10" t="n">
        <v>0</v>
      </c>
      <c r="G36" s="10" t="s">
        <v>34</v>
      </c>
      <c r="H36" s="10" t="n">
        <v>0</v>
      </c>
      <c r="I36" s="10" t="n">
        <v>0</v>
      </c>
      <c r="J36" s="11" t="n">
        <f aca="false">D36*E36</f>
        <v>29196</v>
      </c>
      <c r="K36" s="12" t="str">
        <f aca="false">IF(D36=0,"AGOTADO",IF(D36&lt;=3,"CRÍTICO",IF(D36&lt;=10,"MEDIO","SANO")))</f>
        <v>CRÍTICO</v>
      </c>
    </row>
    <row r="37" customFormat="false" ht="15" hidden="false" customHeight="false" outlineLevel="0" collapsed="false">
      <c r="A37" s="10" t="s">
        <v>108</v>
      </c>
      <c r="B37" s="10" t="s">
        <v>109</v>
      </c>
      <c r="C37" s="10" t="s">
        <v>43</v>
      </c>
      <c r="D37" s="10" t="n">
        <v>2</v>
      </c>
      <c r="E37" s="11" t="n">
        <v>12681</v>
      </c>
      <c r="F37" s="10" t="n">
        <v>0</v>
      </c>
      <c r="G37" s="10" t="s">
        <v>34</v>
      </c>
      <c r="H37" s="10" t="n">
        <v>0</v>
      </c>
      <c r="I37" s="10" t="n">
        <v>0</v>
      </c>
      <c r="J37" s="11" t="n">
        <f aca="false">D37*E37</f>
        <v>25362</v>
      </c>
      <c r="K37" s="12" t="str">
        <f aca="false">IF(D37=0,"AGOTADO",IF(D37&lt;=3,"CRÍTICO",IF(D37&lt;=10,"MEDIO","SANO")))</f>
        <v>CRÍTICO</v>
      </c>
    </row>
    <row r="38" customFormat="false" ht="15" hidden="false" customHeight="false" outlineLevel="0" collapsed="false">
      <c r="A38" s="10" t="s">
        <v>110</v>
      </c>
      <c r="B38" s="10" t="s">
        <v>111</v>
      </c>
      <c r="C38" s="10" t="s">
        <v>43</v>
      </c>
      <c r="D38" s="10" t="n">
        <v>2</v>
      </c>
      <c r="E38" s="11" t="n">
        <v>9825</v>
      </c>
      <c r="F38" s="10" t="n">
        <v>0</v>
      </c>
      <c r="G38" s="10" t="s">
        <v>34</v>
      </c>
      <c r="H38" s="10" t="n">
        <v>0</v>
      </c>
      <c r="I38" s="10" t="n">
        <v>0</v>
      </c>
      <c r="J38" s="11" t="n">
        <f aca="false">D38*E38</f>
        <v>19650</v>
      </c>
      <c r="K38" s="12" t="str">
        <f aca="false">IF(D38=0,"AGOTADO",IF(D38&lt;=3,"CRÍTICO",IF(D38&lt;=10,"MEDIO","SANO")))</f>
        <v>CRÍTICO</v>
      </c>
    </row>
    <row r="39" customFormat="false" ht="15" hidden="false" customHeight="false" outlineLevel="0" collapsed="false">
      <c r="A39" s="10" t="s">
        <v>112</v>
      </c>
      <c r="B39" s="10" t="s">
        <v>113</v>
      </c>
      <c r="C39" s="10" t="s">
        <v>43</v>
      </c>
      <c r="D39" s="10" t="n">
        <v>2</v>
      </c>
      <c r="E39" s="11" t="n">
        <v>8448</v>
      </c>
      <c r="F39" s="10" t="n">
        <v>0</v>
      </c>
      <c r="G39" s="10" t="s">
        <v>34</v>
      </c>
      <c r="H39" s="10" t="n">
        <v>0</v>
      </c>
      <c r="I39" s="10" t="n">
        <v>0</v>
      </c>
      <c r="J39" s="11" t="n">
        <f aca="false">D39*E39</f>
        <v>16896</v>
      </c>
      <c r="K39" s="12" t="str">
        <f aca="false">IF(D39=0,"AGOTADO",IF(D39&lt;=3,"CRÍTICO",IF(D39&lt;=10,"MEDIO","SANO")))</f>
        <v>CRÍTICO</v>
      </c>
    </row>
    <row r="40" customFormat="false" ht="15" hidden="false" customHeight="false" outlineLevel="0" collapsed="false">
      <c r="A40" s="10" t="s">
        <v>114</v>
      </c>
      <c r="B40" s="10" t="s">
        <v>115</v>
      </c>
      <c r="C40" s="10" t="s">
        <v>37</v>
      </c>
      <c r="D40" s="10" t="n">
        <v>2</v>
      </c>
      <c r="E40" s="11" t="n">
        <v>8142</v>
      </c>
      <c r="F40" s="10" t="n">
        <v>0</v>
      </c>
      <c r="G40" s="10" t="s">
        <v>34</v>
      </c>
      <c r="H40" s="10" t="n">
        <v>0</v>
      </c>
      <c r="I40" s="10" t="n">
        <v>0</v>
      </c>
      <c r="J40" s="11" t="n">
        <f aca="false">D40*E40</f>
        <v>16284</v>
      </c>
      <c r="K40" s="12" t="str">
        <f aca="false">IF(D40=0,"AGOTADO",IF(D40&lt;=3,"CRÍTICO",IF(D40&lt;=10,"MEDIO","SANO")))</f>
        <v>CRÍTICO</v>
      </c>
    </row>
    <row r="41" customFormat="false" ht="15" hidden="false" customHeight="false" outlineLevel="0" collapsed="false">
      <c r="A41" s="10" t="s">
        <v>116</v>
      </c>
      <c r="B41" s="10" t="s">
        <v>117</v>
      </c>
      <c r="C41" s="10" t="s">
        <v>40</v>
      </c>
      <c r="D41" s="10" t="n">
        <v>2</v>
      </c>
      <c r="E41" s="11" t="n">
        <v>7765</v>
      </c>
      <c r="F41" s="10" t="n">
        <v>7765</v>
      </c>
      <c r="G41" s="10" t="s">
        <v>34</v>
      </c>
      <c r="H41" s="10" t="n">
        <v>0</v>
      </c>
      <c r="I41" s="10" t="n">
        <v>0</v>
      </c>
      <c r="J41" s="11" t="n">
        <f aca="false">D41*E41</f>
        <v>15530</v>
      </c>
      <c r="K41" s="12" t="str">
        <f aca="false">IF(D41=0,"AGOTADO",IF(D41&lt;=3,"CRÍTICO",IF(D41&lt;=10,"MEDIO","SANO")))</f>
        <v>CRÍTICO</v>
      </c>
    </row>
    <row r="42" customFormat="false" ht="15" hidden="false" customHeight="false" outlineLevel="0" collapsed="false">
      <c r="A42" s="10" t="s">
        <v>118</v>
      </c>
      <c r="B42" s="10" t="s">
        <v>119</v>
      </c>
      <c r="C42" s="10" t="s">
        <v>43</v>
      </c>
      <c r="D42" s="10" t="n">
        <v>2</v>
      </c>
      <c r="E42" s="11" t="n">
        <v>7013</v>
      </c>
      <c r="F42" s="10" t="n">
        <v>0</v>
      </c>
      <c r="G42" s="10" t="s">
        <v>34</v>
      </c>
      <c r="H42" s="10" t="n">
        <v>0</v>
      </c>
      <c r="I42" s="10" t="n">
        <v>0</v>
      </c>
      <c r="J42" s="11" t="n">
        <f aca="false">D42*E42</f>
        <v>14026</v>
      </c>
      <c r="K42" s="12" t="str">
        <f aca="false">IF(D42=0,"AGOTADO",IF(D42&lt;=3,"CRÍTICO",IF(D42&lt;=10,"MEDIO","SANO")))</f>
        <v>CRÍTICO</v>
      </c>
    </row>
    <row r="43" customFormat="false" ht="15" hidden="false" customHeight="false" outlineLevel="0" collapsed="false">
      <c r="A43" s="10" t="s">
        <v>120</v>
      </c>
      <c r="B43" s="10" t="s">
        <v>121</v>
      </c>
      <c r="C43" s="10" t="s">
        <v>43</v>
      </c>
      <c r="D43" s="10" t="n">
        <v>2</v>
      </c>
      <c r="E43" s="11" t="n">
        <v>4995</v>
      </c>
      <c r="F43" s="10" t="n">
        <v>0</v>
      </c>
      <c r="G43" s="10" t="s">
        <v>34</v>
      </c>
      <c r="H43" s="10" t="n">
        <v>0</v>
      </c>
      <c r="I43" s="10" t="n">
        <v>0</v>
      </c>
      <c r="J43" s="11" t="n">
        <f aca="false">D43*E43</f>
        <v>9990</v>
      </c>
      <c r="K43" s="12" t="str">
        <f aca="false">IF(D43=0,"AGOTADO",IF(D43&lt;=3,"CRÍTICO",IF(D43&lt;=10,"MEDIO","SANO")))</f>
        <v>CRÍTICO</v>
      </c>
    </row>
    <row r="44" customFormat="false" ht="15" hidden="false" customHeight="false" outlineLevel="0" collapsed="false">
      <c r="A44" s="10" t="s">
        <v>122</v>
      </c>
      <c r="B44" s="10" t="s">
        <v>123</v>
      </c>
      <c r="C44" s="10" t="s">
        <v>37</v>
      </c>
      <c r="D44" s="10" t="n">
        <v>2</v>
      </c>
      <c r="E44" s="11" t="n">
        <v>4387</v>
      </c>
      <c r="F44" s="10" t="n">
        <v>0</v>
      </c>
      <c r="G44" s="10" t="s">
        <v>34</v>
      </c>
      <c r="H44" s="10" t="n">
        <v>0</v>
      </c>
      <c r="I44" s="10" t="n">
        <v>0</v>
      </c>
      <c r="J44" s="11" t="n">
        <f aca="false">D44*E44</f>
        <v>8774</v>
      </c>
      <c r="K44" s="12" t="str">
        <f aca="false">IF(D44=0,"AGOTADO",IF(D44&lt;=3,"CRÍTICO",IF(D44&lt;=10,"MEDIO","SANO")))</f>
        <v>CRÍTICO</v>
      </c>
    </row>
    <row r="45" customFormat="false" ht="15" hidden="false" customHeight="false" outlineLevel="0" collapsed="false">
      <c r="A45" s="10" t="s">
        <v>124</v>
      </c>
      <c r="B45" s="10" t="s">
        <v>125</v>
      </c>
      <c r="C45" s="10" t="s">
        <v>37</v>
      </c>
      <c r="D45" s="10" t="n">
        <v>2</v>
      </c>
      <c r="E45" s="11" t="n">
        <v>4192</v>
      </c>
      <c r="F45" s="10" t="n">
        <v>0</v>
      </c>
      <c r="G45" s="10" t="s">
        <v>34</v>
      </c>
      <c r="H45" s="10" t="n">
        <v>0</v>
      </c>
      <c r="I45" s="10" t="n">
        <v>0</v>
      </c>
      <c r="J45" s="11" t="n">
        <f aca="false">D45*E45</f>
        <v>8384</v>
      </c>
      <c r="K45" s="12" t="str">
        <f aca="false">IF(D45=0,"AGOTADO",IF(D45&lt;=3,"CRÍTICO",IF(D45&lt;=10,"MEDIO","SANO")))</f>
        <v>CRÍTICO</v>
      </c>
    </row>
    <row r="46" customFormat="false" ht="15" hidden="false" customHeight="false" outlineLevel="0" collapsed="false">
      <c r="A46" s="10" t="s">
        <v>126</v>
      </c>
      <c r="B46" s="10" t="s">
        <v>127</v>
      </c>
      <c r="C46" s="10" t="s">
        <v>43</v>
      </c>
      <c r="D46" s="10" t="n">
        <v>2</v>
      </c>
      <c r="E46" s="11" t="n">
        <v>4043</v>
      </c>
      <c r="F46" s="10" t="n">
        <v>0</v>
      </c>
      <c r="G46" s="10" t="s">
        <v>34</v>
      </c>
      <c r="H46" s="10" t="n">
        <v>0</v>
      </c>
      <c r="I46" s="10" t="n">
        <v>0</v>
      </c>
      <c r="J46" s="11" t="n">
        <f aca="false">D46*E46</f>
        <v>8086</v>
      </c>
      <c r="K46" s="12" t="str">
        <f aca="false">IF(D46=0,"AGOTADO",IF(D46&lt;=3,"CRÍTICO",IF(D46&lt;=10,"MEDIO","SANO")))</f>
        <v>CRÍTICO</v>
      </c>
    </row>
    <row r="47" customFormat="false" ht="15" hidden="false" customHeight="false" outlineLevel="0" collapsed="false">
      <c r="A47" s="10" t="s">
        <v>128</v>
      </c>
      <c r="B47" s="10" t="s">
        <v>129</v>
      </c>
      <c r="C47" s="10" t="s">
        <v>43</v>
      </c>
      <c r="D47" s="10" t="n">
        <v>2</v>
      </c>
      <c r="E47" s="11" t="n">
        <v>3704</v>
      </c>
      <c r="F47" s="10" t="n">
        <v>0</v>
      </c>
      <c r="G47" s="10" t="s">
        <v>34</v>
      </c>
      <c r="H47" s="10" t="n">
        <v>0</v>
      </c>
      <c r="I47" s="10" t="n">
        <v>0</v>
      </c>
      <c r="J47" s="11" t="n">
        <f aca="false">D47*E47</f>
        <v>7408</v>
      </c>
      <c r="K47" s="12" t="str">
        <f aca="false">IF(D47=0,"AGOTADO",IF(D47&lt;=3,"CRÍTICO",IF(D47&lt;=10,"MEDIO","SANO")))</f>
        <v>CRÍTICO</v>
      </c>
    </row>
    <row r="48" customFormat="false" ht="15" hidden="false" customHeight="false" outlineLevel="0" collapsed="false">
      <c r="A48" s="10" t="s">
        <v>130</v>
      </c>
      <c r="B48" s="10" t="s">
        <v>131</v>
      </c>
      <c r="C48" s="10" t="s">
        <v>37</v>
      </c>
      <c r="D48" s="10" t="n">
        <v>2</v>
      </c>
      <c r="E48" s="11" t="n">
        <v>3574</v>
      </c>
      <c r="F48" s="10" t="n">
        <v>0</v>
      </c>
      <c r="G48" s="10" t="s">
        <v>34</v>
      </c>
      <c r="H48" s="10" t="n">
        <v>0</v>
      </c>
      <c r="I48" s="10" t="n">
        <v>0</v>
      </c>
      <c r="J48" s="11" t="n">
        <f aca="false">D48*E48</f>
        <v>7148</v>
      </c>
      <c r="K48" s="12" t="str">
        <f aca="false">IF(D48=0,"AGOTADO",IF(D48&lt;=3,"CRÍTICO",IF(D48&lt;=10,"MEDIO","SANO")))</f>
        <v>CRÍTICO</v>
      </c>
    </row>
    <row r="49" customFormat="false" ht="15" hidden="false" customHeight="false" outlineLevel="0" collapsed="false">
      <c r="A49" s="10" t="s">
        <v>132</v>
      </c>
      <c r="B49" s="10" t="s">
        <v>133</v>
      </c>
      <c r="C49" s="10" t="s">
        <v>37</v>
      </c>
      <c r="D49" s="10" t="n">
        <v>2</v>
      </c>
      <c r="E49" s="11" t="n">
        <v>3551</v>
      </c>
      <c r="F49" s="10" t="n">
        <v>0</v>
      </c>
      <c r="G49" s="10" t="s">
        <v>34</v>
      </c>
      <c r="H49" s="10" t="n">
        <v>0</v>
      </c>
      <c r="I49" s="10" t="n">
        <v>0</v>
      </c>
      <c r="J49" s="11" t="n">
        <f aca="false">D49*E49</f>
        <v>7102</v>
      </c>
      <c r="K49" s="12" t="str">
        <f aca="false">IF(D49=0,"AGOTADO",IF(D49&lt;=3,"CRÍTICO",IF(D49&lt;=10,"MEDIO","SANO")))</f>
        <v>CRÍTICO</v>
      </c>
    </row>
    <row r="50" customFormat="false" ht="15" hidden="false" customHeight="false" outlineLevel="0" collapsed="false">
      <c r="A50" s="10" t="s">
        <v>134</v>
      </c>
      <c r="B50" s="10" t="s">
        <v>135</v>
      </c>
      <c r="C50" s="10" t="s">
        <v>43</v>
      </c>
      <c r="D50" s="10" t="n">
        <v>2</v>
      </c>
      <c r="E50" s="11" t="n">
        <v>3206</v>
      </c>
      <c r="F50" s="10" t="n">
        <v>0</v>
      </c>
      <c r="G50" s="10" t="s">
        <v>34</v>
      </c>
      <c r="H50" s="10" t="n">
        <v>0</v>
      </c>
      <c r="I50" s="10" t="n">
        <v>0</v>
      </c>
      <c r="J50" s="11" t="n">
        <f aca="false">D50*E50</f>
        <v>6412</v>
      </c>
      <c r="K50" s="12" t="str">
        <f aca="false">IF(D50=0,"AGOTADO",IF(D50&lt;=3,"CRÍTICO",IF(D50&lt;=10,"MEDIO","SANO")))</f>
        <v>CRÍTICO</v>
      </c>
    </row>
    <row r="51" customFormat="false" ht="15" hidden="false" customHeight="false" outlineLevel="0" collapsed="false">
      <c r="A51" s="10" t="s">
        <v>136</v>
      </c>
      <c r="B51" s="10" t="s">
        <v>137</v>
      </c>
      <c r="C51" s="10" t="s">
        <v>43</v>
      </c>
      <c r="D51" s="10" t="n">
        <v>2</v>
      </c>
      <c r="E51" s="11" t="n">
        <v>3158</v>
      </c>
      <c r="F51" s="10" t="n">
        <v>0</v>
      </c>
      <c r="G51" s="10" t="s">
        <v>34</v>
      </c>
      <c r="H51" s="10" t="n">
        <v>0</v>
      </c>
      <c r="I51" s="10" t="n">
        <v>0</v>
      </c>
      <c r="J51" s="11" t="n">
        <f aca="false">D51*E51</f>
        <v>6316</v>
      </c>
      <c r="K51" s="12" t="str">
        <f aca="false">IF(D51=0,"AGOTADO",IF(D51&lt;=3,"CRÍTICO",IF(D51&lt;=10,"MEDIO","SANO")))</f>
        <v>CRÍTICO</v>
      </c>
    </row>
    <row r="52" customFormat="false" ht="15" hidden="false" customHeight="false" outlineLevel="0" collapsed="false">
      <c r="A52" s="10" t="s">
        <v>138</v>
      </c>
      <c r="B52" s="10" t="s">
        <v>139</v>
      </c>
      <c r="C52" s="10" t="s">
        <v>70</v>
      </c>
      <c r="D52" s="10" t="n">
        <v>2</v>
      </c>
      <c r="E52" s="11" t="n">
        <v>3074</v>
      </c>
      <c r="F52" s="10" t="n">
        <v>0</v>
      </c>
      <c r="G52" s="10" t="s">
        <v>34</v>
      </c>
      <c r="H52" s="10" t="n">
        <v>0</v>
      </c>
      <c r="I52" s="10" t="n">
        <v>0</v>
      </c>
      <c r="J52" s="11" t="n">
        <f aca="false">D52*E52</f>
        <v>6148</v>
      </c>
      <c r="K52" s="12" t="str">
        <f aca="false">IF(D52=0,"AGOTADO",IF(D52&lt;=3,"CRÍTICO",IF(D52&lt;=10,"MEDIO","SANO")))</f>
        <v>CRÍTICO</v>
      </c>
    </row>
    <row r="53" customFormat="false" ht="15" hidden="false" customHeight="false" outlineLevel="0" collapsed="false">
      <c r="A53" s="10" t="s">
        <v>140</v>
      </c>
      <c r="B53" s="10" t="s">
        <v>141</v>
      </c>
      <c r="C53" s="10" t="s">
        <v>43</v>
      </c>
      <c r="D53" s="10" t="n">
        <v>2</v>
      </c>
      <c r="E53" s="11" t="n">
        <v>2713</v>
      </c>
      <c r="F53" s="10" t="n">
        <v>0</v>
      </c>
      <c r="G53" s="10" t="s">
        <v>34</v>
      </c>
      <c r="H53" s="10" t="n">
        <v>0</v>
      </c>
      <c r="I53" s="10" t="n">
        <v>0</v>
      </c>
      <c r="J53" s="11" t="n">
        <f aca="false">D53*E53</f>
        <v>5426</v>
      </c>
      <c r="K53" s="12" t="str">
        <f aca="false">IF(D53=0,"AGOTADO",IF(D53&lt;=3,"CRÍTICO",IF(D53&lt;=10,"MEDIO","SANO")))</f>
        <v>CRÍTICO</v>
      </c>
    </row>
    <row r="54" customFormat="false" ht="15" hidden="false" customHeight="false" outlineLevel="0" collapsed="false">
      <c r="A54" s="10" t="s">
        <v>142</v>
      </c>
      <c r="B54" s="10" t="s">
        <v>143</v>
      </c>
      <c r="C54" s="10" t="s">
        <v>43</v>
      </c>
      <c r="D54" s="10" t="n">
        <v>2</v>
      </c>
      <c r="E54" s="11" t="n">
        <v>2241</v>
      </c>
      <c r="F54" s="10" t="n">
        <v>0</v>
      </c>
      <c r="G54" s="10" t="s">
        <v>34</v>
      </c>
      <c r="H54" s="10" t="n">
        <v>0</v>
      </c>
      <c r="I54" s="10" t="n">
        <v>0</v>
      </c>
      <c r="J54" s="11" t="n">
        <f aca="false">D54*E54</f>
        <v>4482</v>
      </c>
      <c r="K54" s="12" t="str">
        <f aca="false">IF(D54=0,"AGOTADO",IF(D54&lt;=3,"CRÍTICO",IF(D54&lt;=10,"MEDIO","SANO")))</f>
        <v>CRÍTICO</v>
      </c>
    </row>
    <row r="55" customFormat="false" ht="15" hidden="false" customHeight="false" outlineLevel="0" collapsed="false">
      <c r="A55" s="10" t="s">
        <v>144</v>
      </c>
      <c r="B55" s="10" t="s">
        <v>145</v>
      </c>
      <c r="C55" s="10" t="s">
        <v>43</v>
      </c>
      <c r="D55" s="10" t="n">
        <v>2</v>
      </c>
      <c r="E55" s="11" t="n">
        <v>1993</v>
      </c>
      <c r="F55" s="10" t="n">
        <v>0</v>
      </c>
      <c r="G55" s="10" t="s">
        <v>34</v>
      </c>
      <c r="H55" s="10" t="n">
        <v>0</v>
      </c>
      <c r="I55" s="10" t="n">
        <v>0</v>
      </c>
      <c r="J55" s="11" t="n">
        <f aca="false">D55*E55</f>
        <v>3986</v>
      </c>
      <c r="K55" s="12" t="str">
        <f aca="false">IF(D55=0,"AGOTADO",IF(D55&lt;=3,"CRÍTICO",IF(D55&lt;=10,"MEDIO","SANO")))</f>
        <v>CRÍTICO</v>
      </c>
    </row>
    <row r="56" customFormat="false" ht="15" hidden="false" customHeight="false" outlineLevel="0" collapsed="false">
      <c r="A56" s="10" t="s">
        <v>146</v>
      </c>
      <c r="B56" s="10" t="s">
        <v>147</v>
      </c>
      <c r="C56" s="10" t="s">
        <v>43</v>
      </c>
      <c r="D56" s="10" t="n">
        <v>2</v>
      </c>
      <c r="E56" s="11" t="n">
        <v>727</v>
      </c>
      <c r="F56" s="10" t="n">
        <v>0</v>
      </c>
      <c r="G56" s="10" t="s">
        <v>34</v>
      </c>
      <c r="H56" s="10" t="n">
        <v>0</v>
      </c>
      <c r="I56" s="10" t="n">
        <v>0</v>
      </c>
      <c r="J56" s="11" t="n">
        <f aca="false">D56*E56</f>
        <v>1454</v>
      </c>
      <c r="K56" s="12" t="str">
        <f aca="false">IF(D56=0,"AGOTADO",IF(D56&lt;=3,"CRÍTICO",IF(D56&lt;=10,"MEDIO","SANO")))</f>
        <v>CRÍTICO</v>
      </c>
    </row>
    <row r="57" customFormat="false" ht="15" hidden="false" customHeight="false" outlineLevel="0" collapsed="false">
      <c r="A57" s="10" t="s">
        <v>148</v>
      </c>
      <c r="B57" s="10" t="s">
        <v>149</v>
      </c>
      <c r="C57" s="10" t="s">
        <v>43</v>
      </c>
      <c r="D57" s="10" t="n">
        <v>2</v>
      </c>
      <c r="E57" s="11" t="n">
        <v>100</v>
      </c>
      <c r="F57" s="10" t="n">
        <v>0</v>
      </c>
      <c r="G57" s="10" t="s">
        <v>34</v>
      </c>
      <c r="H57" s="10" t="n">
        <v>0</v>
      </c>
      <c r="I57" s="10" t="n">
        <v>0</v>
      </c>
      <c r="J57" s="11" t="n">
        <f aca="false">D57*E57</f>
        <v>200</v>
      </c>
      <c r="K57" s="12" t="str">
        <f aca="false">IF(D57=0,"AGOTADO",IF(D57&lt;=3,"CRÍTICO",IF(D57&lt;=10,"MEDIO","SANO")))</f>
        <v>CRÍTICO</v>
      </c>
    </row>
    <row r="58" customFormat="false" ht="15" hidden="false" customHeight="false" outlineLevel="0" collapsed="false">
      <c r="A58" s="10" t="s">
        <v>150</v>
      </c>
      <c r="B58" s="10" t="s">
        <v>151</v>
      </c>
      <c r="C58" s="10" t="s">
        <v>43</v>
      </c>
      <c r="D58" s="10" t="n">
        <v>3</v>
      </c>
      <c r="E58" s="11" t="n">
        <v>80000</v>
      </c>
      <c r="F58" s="10" t="n">
        <v>0</v>
      </c>
      <c r="G58" s="10" t="s">
        <v>34</v>
      </c>
      <c r="H58" s="10" t="n">
        <v>0</v>
      </c>
      <c r="I58" s="10" t="n">
        <v>0</v>
      </c>
      <c r="J58" s="11" t="n">
        <f aca="false">D58*E58</f>
        <v>240000</v>
      </c>
      <c r="K58" s="12" t="str">
        <f aca="false">IF(D58=0,"AGOTADO",IF(D58&lt;=3,"CRÍTICO",IF(D58&lt;=10,"MEDIO","SANO")))</f>
        <v>CRÍTICO</v>
      </c>
    </row>
    <row r="59" customFormat="false" ht="15" hidden="false" customHeight="false" outlineLevel="0" collapsed="false">
      <c r="A59" s="10" t="s">
        <v>152</v>
      </c>
      <c r="B59" s="10" t="s">
        <v>153</v>
      </c>
      <c r="C59" s="10" t="s">
        <v>33</v>
      </c>
      <c r="D59" s="10" t="n">
        <v>3</v>
      </c>
      <c r="E59" s="11" t="n">
        <v>44554</v>
      </c>
      <c r="F59" s="10" t="n">
        <v>0</v>
      </c>
      <c r="G59" s="10" t="s">
        <v>34</v>
      </c>
      <c r="H59" s="10" t="n">
        <v>0</v>
      </c>
      <c r="I59" s="10" t="n">
        <v>0</v>
      </c>
      <c r="J59" s="11" t="n">
        <f aca="false">D59*E59</f>
        <v>133662</v>
      </c>
      <c r="K59" s="12" t="str">
        <f aca="false">IF(D59=0,"AGOTADO",IF(D59&lt;=3,"CRÍTICO",IF(D59&lt;=10,"MEDIO","SANO")))</f>
        <v>CRÍTICO</v>
      </c>
    </row>
    <row r="60" customFormat="false" ht="15" hidden="false" customHeight="false" outlineLevel="0" collapsed="false">
      <c r="A60" s="10" t="s">
        <v>154</v>
      </c>
      <c r="B60" s="10" t="s">
        <v>155</v>
      </c>
      <c r="C60" s="10" t="s">
        <v>37</v>
      </c>
      <c r="D60" s="10" t="n">
        <v>3</v>
      </c>
      <c r="E60" s="11" t="n">
        <v>37409</v>
      </c>
      <c r="F60" s="10" t="n">
        <v>0</v>
      </c>
      <c r="G60" s="10" t="s">
        <v>34</v>
      </c>
      <c r="H60" s="10" t="n">
        <v>0</v>
      </c>
      <c r="I60" s="10" t="n">
        <v>0</v>
      </c>
      <c r="J60" s="11" t="n">
        <f aca="false">D60*E60</f>
        <v>112227</v>
      </c>
      <c r="K60" s="12" t="str">
        <f aca="false">IF(D60=0,"AGOTADO",IF(D60&lt;=3,"CRÍTICO",IF(D60&lt;=10,"MEDIO","SANO")))</f>
        <v>CRÍTICO</v>
      </c>
    </row>
    <row r="61" customFormat="false" ht="15" hidden="false" customHeight="false" outlineLevel="0" collapsed="false">
      <c r="A61" s="10" t="s">
        <v>156</v>
      </c>
      <c r="B61" s="10" t="s">
        <v>157</v>
      </c>
      <c r="C61" s="10" t="s">
        <v>43</v>
      </c>
      <c r="D61" s="10" t="n">
        <v>3</v>
      </c>
      <c r="E61" s="11" t="n">
        <v>21620</v>
      </c>
      <c r="F61" s="10" t="n">
        <v>0</v>
      </c>
      <c r="G61" s="10" t="s">
        <v>34</v>
      </c>
      <c r="H61" s="10" t="n">
        <v>0</v>
      </c>
      <c r="I61" s="10" t="n">
        <v>0</v>
      </c>
      <c r="J61" s="11" t="n">
        <f aca="false">D61*E61</f>
        <v>64860</v>
      </c>
      <c r="K61" s="12" t="str">
        <f aca="false">IF(D61=0,"AGOTADO",IF(D61&lt;=3,"CRÍTICO",IF(D61&lt;=10,"MEDIO","SANO")))</f>
        <v>CRÍTICO</v>
      </c>
    </row>
    <row r="62" customFormat="false" ht="15" hidden="false" customHeight="false" outlineLevel="0" collapsed="false">
      <c r="A62" s="10" t="s">
        <v>158</v>
      </c>
      <c r="B62" s="10" t="s">
        <v>159</v>
      </c>
      <c r="C62" s="10" t="s">
        <v>43</v>
      </c>
      <c r="D62" s="10" t="n">
        <v>3</v>
      </c>
      <c r="E62" s="11" t="n">
        <v>17141</v>
      </c>
      <c r="F62" s="10" t="n">
        <v>0</v>
      </c>
      <c r="G62" s="10" t="s">
        <v>34</v>
      </c>
      <c r="H62" s="10" t="n">
        <v>0</v>
      </c>
      <c r="I62" s="10" t="n">
        <v>0</v>
      </c>
      <c r="J62" s="11" t="n">
        <f aca="false">D62*E62</f>
        <v>51423</v>
      </c>
      <c r="K62" s="12" t="str">
        <f aca="false">IF(D62=0,"AGOTADO",IF(D62&lt;=3,"CRÍTICO",IF(D62&lt;=10,"MEDIO","SANO")))</f>
        <v>CRÍTICO</v>
      </c>
    </row>
    <row r="63" customFormat="false" ht="15" hidden="false" customHeight="false" outlineLevel="0" collapsed="false">
      <c r="A63" s="10" t="s">
        <v>160</v>
      </c>
      <c r="B63" s="10" t="s">
        <v>161</v>
      </c>
      <c r="C63" s="10" t="s">
        <v>91</v>
      </c>
      <c r="D63" s="10" t="n">
        <v>3</v>
      </c>
      <c r="E63" s="11" t="n">
        <v>15000</v>
      </c>
      <c r="F63" s="10" t="n">
        <v>0</v>
      </c>
      <c r="G63" s="10" t="s">
        <v>34</v>
      </c>
      <c r="H63" s="10" t="n">
        <v>0</v>
      </c>
      <c r="I63" s="10" t="n">
        <v>0</v>
      </c>
      <c r="J63" s="11" t="n">
        <f aca="false">D63*E63</f>
        <v>45000</v>
      </c>
      <c r="K63" s="12" t="str">
        <f aca="false">IF(D63=0,"AGOTADO",IF(D63&lt;=3,"CRÍTICO",IF(D63&lt;=10,"MEDIO","SANO")))</f>
        <v>CRÍTICO</v>
      </c>
    </row>
    <row r="64" customFormat="false" ht="15" hidden="false" customHeight="false" outlineLevel="0" collapsed="false">
      <c r="A64" s="10" t="s">
        <v>162</v>
      </c>
      <c r="B64" s="10" t="s">
        <v>163</v>
      </c>
      <c r="C64" s="10" t="s">
        <v>43</v>
      </c>
      <c r="D64" s="10" t="n">
        <v>3</v>
      </c>
      <c r="E64" s="11" t="n">
        <v>13566</v>
      </c>
      <c r="F64" s="10" t="n">
        <v>0</v>
      </c>
      <c r="G64" s="10" t="s">
        <v>34</v>
      </c>
      <c r="H64" s="10" t="n">
        <v>0</v>
      </c>
      <c r="I64" s="10" t="n">
        <v>0</v>
      </c>
      <c r="J64" s="11" t="n">
        <f aca="false">D64*E64</f>
        <v>40698</v>
      </c>
      <c r="K64" s="12" t="str">
        <f aca="false">IF(D64=0,"AGOTADO",IF(D64&lt;=3,"CRÍTICO",IF(D64&lt;=10,"MEDIO","SANO")))</f>
        <v>CRÍTICO</v>
      </c>
    </row>
    <row r="65" customFormat="false" ht="15" hidden="false" customHeight="false" outlineLevel="0" collapsed="false">
      <c r="A65" s="10" t="s">
        <v>164</v>
      </c>
      <c r="B65" s="10" t="s">
        <v>165</v>
      </c>
      <c r="C65" s="10" t="s">
        <v>33</v>
      </c>
      <c r="D65" s="10" t="n">
        <v>3</v>
      </c>
      <c r="E65" s="11" t="n">
        <v>13169</v>
      </c>
      <c r="F65" s="10" t="n">
        <v>0</v>
      </c>
      <c r="G65" s="10" t="s">
        <v>34</v>
      </c>
      <c r="H65" s="10" t="n">
        <v>0</v>
      </c>
      <c r="I65" s="10" t="n">
        <v>0</v>
      </c>
      <c r="J65" s="11" t="n">
        <f aca="false">D65*E65</f>
        <v>39507</v>
      </c>
      <c r="K65" s="12" t="str">
        <f aca="false">IF(D65=0,"AGOTADO",IF(D65&lt;=3,"CRÍTICO",IF(D65&lt;=10,"MEDIO","SANO")))</f>
        <v>CRÍTICO</v>
      </c>
    </row>
    <row r="66" customFormat="false" ht="15" hidden="false" customHeight="false" outlineLevel="0" collapsed="false">
      <c r="A66" s="10" t="s">
        <v>166</v>
      </c>
      <c r="B66" s="10" t="s">
        <v>167</v>
      </c>
      <c r="C66" s="10" t="s">
        <v>33</v>
      </c>
      <c r="D66" s="10" t="n">
        <v>3</v>
      </c>
      <c r="E66" s="11" t="n">
        <v>10650</v>
      </c>
      <c r="F66" s="10" t="n">
        <v>0</v>
      </c>
      <c r="G66" s="10" t="s">
        <v>34</v>
      </c>
      <c r="H66" s="10" t="n">
        <v>0</v>
      </c>
      <c r="I66" s="10" t="n">
        <v>0</v>
      </c>
      <c r="J66" s="11" t="n">
        <f aca="false">D66*E66</f>
        <v>31950</v>
      </c>
      <c r="K66" s="12" t="str">
        <f aca="false">IF(D66=0,"AGOTADO",IF(D66&lt;=3,"CRÍTICO",IF(D66&lt;=10,"MEDIO","SANO")))</f>
        <v>CRÍTICO</v>
      </c>
    </row>
    <row r="67" customFormat="false" ht="15" hidden="false" customHeight="false" outlineLevel="0" collapsed="false">
      <c r="A67" s="10" t="s">
        <v>168</v>
      </c>
      <c r="B67" s="10" t="s">
        <v>169</v>
      </c>
      <c r="C67" s="10" t="s">
        <v>33</v>
      </c>
      <c r="D67" s="10" t="n">
        <v>3</v>
      </c>
      <c r="E67" s="11" t="n">
        <v>10568</v>
      </c>
      <c r="F67" s="10" t="n">
        <v>0</v>
      </c>
      <c r="G67" s="10" t="s">
        <v>34</v>
      </c>
      <c r="H67" s="10" t="n">
        <v>0</v>
      </c>
      <c r="I67" s="10" t="n">
        <v>0</v>
      </c>
      <c r="J67" s="11" t="n">
        <f aca="false">D67*E67</f>
        <v>31704</v>
      </c>
      <c r="K67" s="12" t="str">
        <f aca="false">IF(D67=0,"AGOTADO",IF(D67&lt;=3,"CRÍTICO",IF(D67&lt;=10,"MEDIO","SANO")))</f>
        <v>CRÍTICO</v>
      </c>
    </row>
    <row r="68" customFormat="false" ht="15" hidden="false" customHeight="false" outlineLevel="0" collapsed="false">
      <c r="A68" s="10" t="s">
        <v>170</v>
      </c>
      <c r="B68" s="10" t="s">
        <v>171</v>
      </c>
      <c r="C68" s="10" t="s">
        <v>43</v>
      </c>
      <c r="D68" s="10" t="n">
        <v>3</v>
      </c>
      <c r="E68" s="11" t="n">
        <v>7476</v>
      </c>
      <c r="F68" s="10" t="n">
        <v>0</v>
      </c>
      <c r="G68" s="10" t="s">
        <v>34</v>
      </c>
      <c r="H68" s="10" t="n">
        <v>0</v>
      </c>
      <c r="I68" s="10" t="n">
        <v>0</v>
      </c>
      <c r="J68" s="11" t="n">
        <f aca="false">D68*E68</f>
        <v>22428</v>
      </c>
      <c r="K68" s="12" t="str">
        <f aca="false">IF(D68=0,"AGOTADO",IF(D68&lt;=3,"CRÍTICO",IF(D68&lt;=10,"MEDIO","SANO")))</f>
        <v>CRÍTICO</v>
      </c>
    </row>
    <row r="69" customFormat="false" ht="15" hidden="false" customHeight="false" outlineLevel="0" collapsed="false">
      <c r="A69" s="10" t="s">
        <v>172</v>
      </c>
      <c r="B69" s="10" t="s">
        <v>173</v>
      </c>
      <c r="C69" s="10" t="s">
        <v>43</v>
      </c>
      <c r="D69" s="10" t="n">
        <v>3</v>
      </c>
      <c r="E69" s="11" t="n">
        <v>6686</v>
      </c>
      <c r="F69" s="10" t="n">
        <v>0</v>
      </c>
      <c r="G69" s="10" t="s">
        <v>174</v>
      </c>
      <c r="H69" s="10" t="n">
        <v>0</v>
      </c>
      <c r="I69" s="10" t="n">
        <v>0</v>
      </c>
      <c r="J69" s="11" t="n">
        <f aca="false">D69*E69</f>
        <v>20058</v>
      </c>
      <c r="K69" s="12" t="str">
        <f aca="false">IF(D69=0,"AGOTADO",IF(D69&lt;=3,"CRÍTICO",IF(D69&lt;=10,"MEDIO","SANO")))</f>
        <v>CRÍTICO</v>
      </c>
    </row>
    <row r="70" customFormat="false" ht="15" hidden="false" customHeight="false" outlineLevel="0" collapsed="false">
      <c r="A70" s="10" t="s">
        <v>175</v>
      </c>
      <c r="B70" s="10" t="s">
        <v>176</v>
      </c>
      <c r="C70" s="10" t="s">
        <v>33</v>
      </c>
      <c r="D70" s="10" t="n">
        <v>3</v>
      </c>
      <c r="E70" s="11" t="n">
        <v>5650</v>
      </c>
      <c r="F70" s="10" t="n">
        <v>0</v>
      </c>
      <c r="G70" s="10" t="s">
        <v>34</v>
      </c>
      <c r="H70" s="10" t="n">
        <v>0</v>
      </c>
      <c r="I70" s="10" t="n">
        <v>0</v>
      </c>
      <c r="J70" s="11" t="n">
        <f aca="false">D70*E70</f>
        <v>16950</v>
      </c>
      <c r="K70" s="12" t="str">
        <f aca="false">IF(D70=0,"AGOTADO",IF(D70&lt;=3,"CRÍTICO",IF(D70&lt;=10,"MEDIO","SANO")))</f>
        <v>CRÍTICO</v>
      </c>
    </row>
    <row r="71" customFormat="false" ht="15" hidden="false" customHeight="false" outlineLevel="0" collapsed="false">
      <c r="A71" s="10" t="s">
        <v>177</v>
      </c>
      <c r="B71" s="10" t="s">
        <v>178</v>
      </c>
      <c r="C71" s="10" t="s">
        <v>37</v>
      </c>
      <c r="D71" s="10" t="n">
        <v>3</v>
      </c>
      <c r="E71" s="11" t="n">
        <v>4880</v>
      </c>
      <c r="F71" s="10" t="n">
        <v>0</v>
      </c>
      <c r="G71" s="10" t="s">
        <v>34</v>
      </c>
      <c r="H71" s="10" t="n">
        <v>0</v>
      </c>
      <c r="I71" s="10" t="n">
        <v>0</v>
      </c>
      <c r="J71" s="11" t="n">
        <f aca="false">D71*E71</f>
        <v>14640</v>
      </c>
      <c r="K71" s="12" t="str">
        <f aca="false">IF(D71=0,"AGOTADO",IF(D71&lt;=3,"CRÍTICO",IF(D71&lt;=10,"MEDIO","SANO")))</f>
        <v>CRÍTICO</v>
      </c>
    </row>
    <row r="72" customFormat="false" ht="15" hidden="false" customHeight="false" outlineLevel="0" collapsed="false">
      <c r="A72" s="10" t="s">
        <v>179</v>
      </c>
      <c r="B72" s="10" t="s">
        <v>180</v>
      </c>
      <c r="C72" s="10" t="s">
        <v>43</v>
      </c>
      <c r="D72" s="10" t="n">
        <v>3</v>
      </c>
      <c r="E72" s="11" t="n">
        <v>3114</v>
      </c>
      <c r="F72" s="10" t="n">
        <v>0</v>
      </c>
      <c r="G72" s="10" t="s">
        <v>34</v>
      </c>
      <c r="H72" s="10" t="n">
        <v>0</v>
      </c>
      <c r="I72" s="10" t="n">
        <v>0</v>
      </c>
      <c r="J72" s="11" t="n">
        <f aca="false">D72*E72</f>
        <v>9342</v>
      </c>
      <c r="K72" s="12" t="str">
        <f aca="false">IF(D72=0,"AGOTADO",IF(D72&lt;=3,"CRÍTICO",IF(D72&lt;=10,"MEDIO","SANO")))</f>
        <v>CRÍTICO</v>
      </c>
    </row>
    <row r="73" customFormat="false" ht="15" hidden="false" customHeight="false" outlineLevel="0" collapsed="false">
      <c r="A73" s="10" t="s">
        <v>181</v>
      </c>
      <c r="B73" s="10" t="s">
        <v>182</v>
      </c>
      <c r="C73" s="10" t="s">
        <v>43</v>
      </c>
      <c r="D73" s="10" t="n">
        <v>3</v>
      </c>
      <c r="E73" s="11" t="n">
        <v>1933</v>
      </c>
      <c r="F73" s="10" t="n">
        <v>0</v>
      </c>
      <c r="G73" s="10" t="s">
        <v>34</v>
      </c>
      <c r="H73" s="10" t="n">
        <v>0</v>
      </c>
      <c r="I73" s="10" t="n">
        <v>0</v>
      </c>
      <c r="J73" s="11" t="n">
        <f aca="false">D73*E73</f>
        <v>5799</v>
      </c>
      <c r="K73" s="12" t="str">
        <f aca="false">IF(D73=0,"AGOTADO",IF(D73&lt;=3,"CRÍTICO",IF(D73&lt;=10,"MEDIO","SANO")))</f>
        <v>CRÍTICO</v>
      </c>
    </row>
    <row r="74" customFormat="false" ht="15" hidden="false" customHeight="false" outlineLevel="0" collapsed="false">
      <c r="A74" s="10" t="s">
        <v>183</v>
      </c>
      <c r="B74" s="10" t="s">
        <v>184</v>
      </c>
      <c r="C74" s="10" t="s">
        <v>70</v>
      </c>
      <c r="D74" s="10" t="n">
        <v>3</v>
      </c>
      <c r="E74" s="11" t="n">
        <v>1766</v>
      </c>
      <c r="F74" s="10" t="n">
        <v>0</v>
      </c>
      <c r="G74" s="10" t="s">
        <v>34</v>
      </c>
      <c r="H74" s="10" t="n">
        <v>0</v>
      </c>
      <c r="I74" s="10" t="n">
        <v>0</v>
      </c>
      <c r="J74" s="11" t="n">
        <f aca="false">D74*E74</f>
        <v>5298</v>
      </c>
      <c r="K74" s="12" t="str">
        <f aca="false">IF(D74=0,"AGOTADO",IF(D74&lt;=3,"CRÍTICO",IF(D74&lt;=10,"MEDIO","SANO")))</f>
        <v>CRÍTICO</v>
      </c>
    </row>
    <row r="75" customFormat="false" ht="15" hidden="false" customHeight="false" outlineLevel="0" collapsed="false">
      <c r="A75" s="10" t="s">
        <v>185</v>
      </c>
      <c r="B75" s="10" t="s">
        <v>186</v>
      </c>
      <c r="C75" s="10" t="s">
        <v>70</v>
      </c>
      <c r="D75" s="10" t="n">
        <v>3</v>
      </c>
      <c r="E75" s="11" t="n">
        <v>1090</v>
      </c>
      <c r="F75" s="10" t="n">
        <v>0</v>
      </c>
      <c r="G75" s="10" t="s">
        <v>34</v>
      </c>
      <c r="H75" s="10" t="n">
        <v>0</v>
      </c>
      <c r="I75" s="10" t="n">
        <v>0</v>
      </c>
      <c r="J75" s="11" t="n">
        <f aca="false">D75*E75</f>
        <v>3270</v>
      </c>
      <c r="K75" s="12" t="str">
        <f aca="false">IF(D75=0,"AGOTADO",IF(D75&lt;=3,"CRÍTICO",IF(D75&lt;=10,"MEDIO","SANO")))</f>
        <v>CRÍTICO</v>
      </c>
    </row>
    <row r="76" customFormat="false" ht="15" hidden="false" customHeight="false" outlineLevel="0" collapsed="false">
      <c r="A76" s="10" t="s">
        <v>187</v>
      </c>
      <c r="B76" s="10" t="s">
        <v>188</v>
      </c>
      <c r="C76" s="10" t="s">
        <v>70</v>
      </c>
      <c r="D76" s="10" t="n">
        <v>3</v>
      </c>
      <c r="E76" s="11" t="n">
        <v>940</v>
      </c>
      <c r="F76" s="10" t="n">
        <v>0</v>
      </c>
      <c r="G76" s="10" t="s">
        <v>34</v>
      </c>
      <c r="H76" s="10" t="n">
        <v>0</v>
      </c>
      <c r="I76" s="10" t="n">
        <v>0</v>
      </c>
      <c r="J76" s="11" t="n">
        <f aca="false">D76*E76</f>
        <v>2820</v>
      </c>
      <c r="K76" s="12" t="str">
        <f aca="false">IF(D76=0,"AGOTADO",IF(D76&lt;=3,"CRÍTICO",IF(D76&lt;=10,"MEDIO","SANO")))</f>
        <v>CRÍTICO</v>
      </c>
    </row>
    <row r="77" customFormat="false" ht="15" hidden="false" customHeight="false" outlineLevel="0" collapsed="false">
      <c r="A77" s="10" t="s">
        <v>189</v>
      </c>
      <c r="B77" s="10" t="s">
        <v>190</v>
      </c>
      <c r="C77" s="10" t="s">
        <v>37</v>
      </c>
      <c r="D77" s="10" t="n">
        <v>3</v>
      </c>
      <c r="E77" s="11" t="n">
        <v>613</v>
      </c>
      <c r="F77" s="10" t="n">
        <v>0</v>
      </c>
      <c r="G77" s="10" t="s">
        <v>34</v>
      </c>
      <c r="H77" s="10" t="n">
        <v>0</v>
      </c>
      <c r="I77" s="10" t="n">
        <v>0</v>
      </c>
      <c r="J77" s="11" t="n">
        <f aca="false">D77*E77</f>
        <v>1839</v>
      </c>
      <c r="K77" s="12" t="str">
        <f aca="false">IF(D77=0,"AGOTADO",IF(D77&lt;=3,"CRÍTICO",IF(D77&lt;=10,"MEDIO","SANO")))</f>
        <v>CRÍTICO</v>
      </c>
    </row>
    <row r="78" customFormat="false" ht="15" hidden="false" customHeight="false" outlineLevel="0" collapsed="false">
      <c r="A78" s="10" t="s">
        <v>191</v>
      </c>
      <c r="B78" s="10" t="s">
        <v>192</v>
      </c>
      <c r="C78" s="10" t="s">
        <v>37</v>
      </c>
      <c r="D78" s="10" t="n">
        <v>3</v>
      </c>
      <c r="E78" s="11" t="n">
        <v>392</v>
      </c>
      <c r="F78" s="10" t="n">
        <v>0</v>
      </c>
      <c r="G78" s="10" t="s">
        <v>34</v>
      </c>
      <c r="H78" s="10" t="n">
        <v>0</v>
      </c>
      <c r="I78" s="10" t="n">
        <v>0</v>
      </c>
      <c r="J78" s="11" t="n">
        <f aca="false">D78*E78</f>
        <v>1176</v>
      </c>
      <c r="K78" s="12" t="str">
        <f aca="false">IF(D78=0,"AGOTADO",IF(D78&lt;=3,"CRÍTICO",IF(D78&lt;=10,"MEDIO","SANO")))</f>
        <v>CRÍTICO</v>
      </c>
    </row>
    <row r="79" customFormat="false" ht="15" hidden="false" customHeight="false" outlineLevel="0" collapsed="false">
      <c r="A79" s="10" t="s">
        <v>193</v>
      </c>
      <c r="B79" s="10" t="s">
        <v>194</v>
      </c>
      <c r="C79" s="10" t="s">
        <v>43</v>
      </c>
      <c r="D79" s="10" t="n">
        <v>4</v>
      </c>
      <c r="E79" s="11" t="n">
        <v>69990</v>
      </c>
      <c r="F79" s="10" t="n">
        <v>0</v>
      </c>
      <c r="G79" s="10" t="s">
        <v>34</v>
      </c>
      <c r="H79" s="10" t="n">
        <v>0</v>
      </c>
      <c r="I79" s="10" t="n">
        <v>0</v>
      </c>
      <c r="J79" s="11" t="n">
        <f aca="false">D79*E79</f>
        <v>279960</v>
      </c>
      <c r="K79" s="12" t="str">
        <f aca="false">IF(D79=0,"AGOTADO",IF(D79&lt;=3,"CRÍTICO",IF(D79&lt;=10,"MEDIO","SANO")))</f>
        <v>MEDIO</v>
      </c>
    </row>
    <row r="80" customFormat="false" ht="15" hidden="false" customHeight="false" outlineLevel="0" collapsed="false">
      <c r="A80" s="10" t="s">
        <v>195</v>
      </c>
      <c r="B80" s="10" t="s">
        <v>196</v>
      </c>
      <c r="C80" s="10" t="s">
        <v>33</v>
      </c>
      <c r="D80" s="10" t="n">
        <v>4</v>
      </c>
      <c r="E80" s="11" t="n">
        <v>38984</v>
      </c>
      <c r="F80" s="10" t="n">
        <v>0</v>
      </c>
      <c r="G80" s="10" t="s">
        <v>34</v>
      </c>
      <c r="H80" s="10" t="n">
        <v>0</v>
      </c>
      <c r="I80" s="10" t="n">
        <v>0</v>
      </c>
      <c r="J80" s="11" t="n">
        <f aca="false">D80*E80</f>
        <v>155936</v>
      </c>
      <c r="K80" s="12" t="str">
        <f aca="false">IF(D80=0,"AGOTADO",IF(D80&lt;=3,"CRÍTICO",IF(D80&lt;=10,"MEDIO","SANO")))</f>
        <v>MEDIO</v>
      </c>
    </row>
    <row r="81" customFormat="false" ht="15" hidden="false" customHeight="false" outlineLevel="0" collapsed="false">
      <c r="A81" s="10" t="s">
        <v>197</v>
      </c>
      <c r="B81" s="10" t="s">
        <v>198</v>
      </c>
      <c r="C81" s="10" t="s">
        <v>43</v>
      </c>
      <c r="D81" s="10" t="n">
        <v>4</v>
      </c>
      <c r="E81" s="11" t="n">
        <v>14475</v>
      </c>
      <c r="F81" s="10" t="n">
        <v>0</v>
      </c>
      <c r="G81" s="10" t="s">
        <v>34</v>
      </c>
      <c r="H81" s="10" t="n">
        <v>0</v>
      </c>
      <c r="I81" s="10" t="n">
        <v>0</v>
      </c>
      <c r="J81" s="11" t="n">
        <f aca="false">D81*E81</f>
        <v>57900</v>
      </c>
      <c r="K81" s="12" t="str">
        <f aca="false">IF(D81=0,"AGOTADO",IF(D81&lt;=3,"CRÍTICO",IF(D81&lt;=10,"MEDIO","SANO")))</f>
        <v>MEDIO</v>
      </c>
    </row>
    <row r="82" customFormat="false" ht="15" hidden="false" customHeight="false" outlineLevel="0" collapsed="false">
      <c r="A82" s="10" t="s">
        <v>199</v>
      </c>
      <c r="B82" s="10" t="s">
        <v>200</v>
      </c>
      <c r="C82" s="10" t="s">
        <v>43</v>
      </c>
      <c r="D82" s="10" t="n">
        <v>4</v>
      </c>
      <c r="E82" s="11" t="n">
        <v>12628</v>
      </c>
      <c r="F82" s="10" t="n">
        <v>0</v>
      </c>
      <c r="G82" s="10" t="s">
        <v>34</v>
      </c>
      <c r="H82" s="10" t="n">
        <v>0</v>
      </c>
      <c r="I82" s="10" t="n">
        <v>0</v>
      </c>
      <c r="J82" s="11" t="n">
        <f aca="false">D82*E82</f>
        <v>50512</v>
      </c>
      <c r="K82" s="12" t="str">
        <f aca="false">IF(D82=0,"AGOTADO",IF(D82&lt;=3,"CRÍTICO",IF(D82&lt;=10,"MEDIO","SANO")))</f>
        <v>MEDIO</v>
      </c>
    </row>
    <row r="83" customFormat="false" ht="15" hidden="false" customHeight="false" outlineLevel="0" collapsed="false">
      <c r="A83" s="10" t="s">
        <v>201</v>
      </c>
      <c r="B83" s="10" t="s">
        <v>202</v>
      </c>
      <c r="C83" s="10" t="s">
        <v>33</v>
      </c>
      <c r="D83" s="10" t="n">
        <v>4</v>
      </c>
      <c r="E83" s="11" t="n">
        <v>11782</v>
      </c>
      <c r="F83" s="10" t="n">
        <v>0</v>
      </c>
      <c r="G83" s="10" t="s">
        <v>34</v>
      </c>
      <c r="H83" s="10" t="n">
        <v>0</v>
      </c>
      <c r="I83" s="10" t="n">
        <v>0</v>
      </c>
      <c r="J83" s="11" t="n">
        <f aca="false">D83*E83</f>
        <v>47128</v>
      </c>
      <c r="K83" s="12" t="str">
        <f aca="false">IF(D83=0,"AGOTADO",IF(D83&lt;=3,"CRÍTICO",IF(D83&lt;=10,"MEDIO","SANO")))</f>
        <v>MEDIO</v>
      </c>
    </row>
    <row r="84" customFormat="false" ht="15" hidden="false" customHeight="false" outlineLevel="0" collapsed="false">
      <c r="A84" s="10" t="s">
        <v>203</v>
      </c>
      <c r="B84" s="10" t="s">
        <v>204</v>
      </c>
      <c r="C84" s="10" t="s">
        <v>37</v>
      </c>
      <c r="D84" s="10" t="n">
        <v>4</v>
      </c>
      <c r="E84" s="11" t="n">
        <v>10770</v>
      </c>
      <c r="F84" s="10" t="n">
        <v>0</v>
      </c>
      <c r="G84" s="10" t="s">
        <v>205</v>
      </c>
      <c r="H84" s="10" t="n">
        <v>0</v>
      </c>
      <c r="I84" s="10" t="n">
        <v>0</v>
      </c>
      <c r="J84" s="11" t="n">
        <f aca="false">D84*E84</f>
        <v>43080</v>
      </c>
      <c r="K84" s="12" t="str">
        <f aca="false">IF(D84=0,"AGOTADO",IF(D84&lt;=3,"CRÍTICO",IF(D84&lt;=10,"MEDIO","SANO")))</f>
        <v>MEDIO</v>
      </c>
    </row>
    <row r="85" customFormat="false" ht="15" hidden="false" customHeight="false" outlineLevel="0" collapsed="false">
      <c r="A85" s="10" t="s">
        <v>206</v>
      </c>
      <c r="B85" s="10" t="s">
        <v>207</v>
      </c>
      <c r="C85" s="10" t="s">
        <v>33</v>
      </c>
      <c r="D85" s="10" t="n">
        <v>4</v>
      </c>
      <c r="E85" s="11" t="n">
        <v>10549</v>
      </c>
      <c r="F85" s="10" t="n">
        <v>0</v>
      </c>
      <c r="G85" s="10" t="s">
        <v>34</v>
      </c>
      <c r="H85" s="10" t="n">
        <v>0</v>
      </c>
      <c r="I85" s="10" t="n">
        <v>0</v>
      </c>
      <c r="J85" s="11" t="n">
        <f aca="false">D85*E85</f>
        <v>42196</v>
      </c>
      <c r="K85" s="12" t="str">
        <f aca="false">IF(D85=0,"AGOTADO",IF(D85&lt;=3,"CRÍTICO",IF(D85&lt;=10,"MEDIO","SANO")))</f>
        <v>MEDIO</v>
      </c>
    </row>
    <row r="86" customFormat="false" ht="15" hidden="false" customHeight="false" outlineLevel="0" collapsed="false">
      <c r="A86" s="10" t="s">
        <v>208</v>
      </c>
      <c r="B86" s="10" t="s">
        <v>209</v>
      </c>
      <c r="C86" s="10" t="s">
        <v>33</v>
      </c>
      <c r="D86" s="10" t="n">
        <v>4</v>
      </c>
      <c r="E86" s="11" t="n">
        <v>9268</v>
      </c>
      <c r="F86" s="10" t="n">
        <v>0</v>
      </c>
      <c r="G86" s="10" t="s">
        <v>34</v>
      </c>
      <c r="H86" s="10" t="n">
        <v>0</v>
      </c>
      <c r="I86" s="10" t="n">
        <v>0</v>
      </c>
      <c r="J86" s="11" t="n">
        <f aca="false">D86*E86</f>
        <v>37072</v>
      </c>
      <c r="K86" s="12" t="str">
        <f aca="false">IF(D86=0,"AGOTADO",IF(D86&lt;=3,"CRÍTICO",IF(D86&lt;=10,"MEDIO","SANO")))</f>
        <v>MEDIO</v>
      </c>
    </row>
    <row r="87" customFormat="false" ht="15" hidden="false" customHeight="false" outlineLevel="0" collapsed="false">
      <c r="A87" s="10" t="s">
        <v>210</v>
      </c>
      <c r="B87" s="10" t="s">
        <v>211</v>
      </c>
      <c r="C87" s="10" t="s">
        <v>33</v>
      </c>
      <c r="D87" s="10" t="n">
        <v>4</v>
      </c>
      <c r="E87" s="11" t="n">
        <v>7102</v>
      </c>
      <c r="F87" s="10" t="n">
        <v>0</v>
      </c>
      <c r="G87" s="10" t="s">
        <v>34</v>
      </c>
      <c r="H87" s="10" t="n">
        <v>0</v>
      </c>
      <c r="I87" s="10" t="n">
        <v>0</v>
      </c>
      <c r="J87" s="11" t="n">
        <f aca="false">D87*E87</f>
        <v>28408</v>
      </c>
      <c r="K87" s="12" t="str">
        <f aca="false">IF(D87=0,"AGOTADO",IF(D87&lt;=3,"CRÍTICO",IF(D87&lt;=10,"MEDIO","SANO")))</f>
        <v>MEDIO</v>
      </c>
    </row>
    <row r="88" customFormat="false" ht="15" hidden="false" customHeight="false" outlineLevel="0" collapsed="false">
      <c r="A88" s="10" t="s">
        <v>212</v>
      </c>
      <c r="B88" s="10" t="s">
        <v>213</v>
      </c>
      <c r="C88" s="10" t="s">
        <v>43</v>
      </c>
      <c r="D88" s="10" t="n">
        <v>4</v>
      </c>
      <c r="E88" s="11" t="n">
        <v>6083</v>
      </c>
      <c r="F88" s="10" t="n">
        <v>0</v>
      </c>
      <c r="G88" s="10" t="s">
        <v>34</v>
      </c>
      <c r="H88" s="10" t="n">
        <v>0</v>
      </c>
      <c r="I88" s="10" t="n">
        <v>0</v>
      </c>
      <c r="J88" s="11" t="n">
        <f aca="false">D88*E88</f>
        <v>24332</v>
      </c>
      <c r="K88" s="12" t="str">
        <f aca="false">IF(D88=0,"AGOTADO",IF(D88&lt;=3,"CRÍTICO",IF(D88&lt;=10,"MEDIO","SANO")))</f>
        <v>MEDIO</v>
      </c>
    </row>
    <row r="89" customFormat="false" ht="15" hidden="false" customHeight="false" outlineLevel="0" collapsed="false">
      <c r="A89" s="10" t="s">
        <v>214</v>
      </c>
      <c r="B89" s="10" t="s">
        <v>215</v>
      </c>
      <c r="C89" s="10" t="s">
        <v>43</v>
      </c>
      <c r="D89" s="10" t="n">
        <v>4</v>
      </c>
      <c r="E89" s="11" t="n">
        <v>6081</v>
      </c>
      <c r="F89" s="10" t="n">
        <v>0</v>
      </c>
      <c r="G89" s="10" t="s">
        <v>34</v>
      </c>
      <c r="H89" s="10" t="n">
        <v>0</v>
      </c>
      <c r="I89" s="10" t="n">
        <v>0</v>
      </c>
      <c r="J89" s="11" t="n">
        <f aca="false">D89*E89</f>
        <v>24324</v>
      </c>
      <c r="K89" s="12" t="str">
        <f aca="false">IF(D89=0,"AGOTADO",IF(D89&lt;=3,"CRÍTICO",IF(D89&lt;=10,"MEDIO","SANO")))</f>
        <v>MEDIO</v>
      </c>
    </row>
    <row r="90" customFormat="false" ht="15" hidden="false" customHeight="false" outlineLevel="0" collapsed="false">
      <c r="A90" s="10" t="s">
        <v>216</v>
      </c>
      <c r="B90" s="10" t="s">
        <v>217</v>
      </c>
      <c r="C90" s="10" t="s">
        <v>43</v>
      </c>
      <c r="D90" s="10" t="n">
        <v>4</v>
      </c>
      <c r="E90" s="11" t="n">
        <v>5459</v>
      </c>
      <c r="F90" s="10" t="n">
        <v>0</v>
      </c>
      <c r="G90" s="10" t="s">
        <v>34</v>
      </c>
      <c r="H90" s="10" t="n">
        <v>0</v>
      </c>
      <c r="I90" s="10" t="n">
        <v>0</v>
      </c>
      <c r="J90" s="11" t="n">
        <f aca="false">D90*E90</f>
        <v>21836</v>
      </c>
      <c r="K90" s="12" t="str">
        <f aca="false">IF(D90=0,"AGOTADO",IF(D90&lt;=3,"CRÍTICO",IF(D90&lt;=10,"MEDIO","SANO")))</f>
        <v>MEDIO</v>
      </c>
    </row>
    <row r="91" customFormat="false" ht="15" hidden="false" customHeight="false" outlineLevel="0" collapsed="false">
      <c r="A91" s="10" t="s">
        <v>218</v>
      </c>
      <c r="B91" s="10" t="s">
        <v>219</v>
      </c>
      <c r="C91" s="10" t="s">
        <v>43</v>
      </c>
      <c r="D91" s="10" t="n">
        <v>4</v>
      </c>
      <c r="E91" s="11" t="n">
        <v>3011</v>
      </c>
      <c r="F91" s="10" t="n">
        <v>0</v>
      </c>
      <c r="G91" s="10" t="s">
        <v>34</v>
      </c>
      <c r="H91" s="10" t="n">
        <v>0</v>
      </c>
      <c r="I91" s="10" t="n">
        <v>0</v>
      </c>
      <c r="J91" s="11" t="n">
        <f aca="false">D91*E91</f>
        <v>12044</v>
      </c>
      <c r="K91" s="12" t="str">
        <f aca="false">IF(D91=0,"AGOTADO",IF(D91&lt;=3,"CRÍTICO",IF(D91&lt;=10,"MEDIO","SANO")))</f>
        <v>MEDIO</v>
      </c>
    </row>
    <row r="92" customFormat="false" ht="15" hidden="false" customHeight="false" outlineLevel="0" collapsed="false">
      <c r="A92" s="10" t="s">
        <v>220</v>
      </c>
      <c r="B92" s="10" t="s">
        <v>221</v>
      </c>
      <c r="C92" s="10" t="s">
        <v>43</v>
      </c>
      <c r="D92" s="10" t="n">
        <v>4</v>
      </c>
      <c r="E92" s="11" t="n">
        <v>2179</v>
      </c>
      <c r="F92" s="10" t="n">
        <v>0</v>
      </c>
      <c r="G92" s="10" t="s">
        <v>34</v>
      </c>
      <c r="H92" s="10" t="n">
        <v>0</v>
      </c>
      <c r="I92" s="10" t="n">
        <v>0</v>
      </c>
      <c r="J92" s="11" t="n">
        <f aca="false">D92*E92</f>
        <v>8716</v>
      </c>
      <c r="K92" s="12" t="str">
        <f aca="false">IF(D92=0,"AGOTADO",IF(D92&lt;=3,"CRÍTICO",IF(D92&lt;=10,"MEDIO","SANO")))</f>
        <v>MEDIO</v>
      </c>
    </row>
    <row r="93" customFormat="false" ht="15" hidden="false" customHeight="false" outlineLevel="0" collapsed="false">
      <c r="A93" s="10" t="s">
        <v>222</v>
      </c>
      <c r="B93" s="10" t="s">
        <v>223</v>
      </c>
      <c r="C93" s="10" t="s">
        <v>224</v>
      </c>
      <c r="D93" s="10" t="n">
        <v>4</v>
      </c>
      <c r="E93" s="11" t="n">
        <v>2021</v>
      </c>
      <c r="F93" s="10" t="n">
        <v>0</v>
      </c>
      <c r="G93" s="10" t="s">
        <v>174</v>
      </c>
      <c r="H93" s="10" t="n">
        <v>0</v>
      </c>
      <c r="I93" s="10" t="n">
        <v>0</v>
      </c>
      <c r="J93" s="11" t="n">
        <f aca="false">D93*E93</f>
        <v>8084</v>
      </c>
      <c r="K93" s="12" t="str">
        <f aca="false">IF(D93=0,"AGOTADO",IF(D93&lt;=3,"CRÍTICO",IF(D93&lt;=10,"MEDIO","SANO")))</f>
        <v>MEDIO</v>
      </c>
    </row>
    <row r="94" customFormat="false" ht="15" hidden="false" customHeight="false" outlineLevel="0" collapsed="false">
      <c r="A94" s="10" t="s">
        <v>225</v>
      </c>
      <c r="B94" s="10" t="s">
        <v>226</v>
      </c>
      <c r="C94" s="10" t="s">
        <v>70</v>
      </c>
      <c r="D94" s="10" t="n">
        <v>4</v>
      </c>
      <c r="E94" s="11" t="n">
        <v>1964</v>
      </c>
      <c r="F94" s="10" t="n">
        <v>0</v>
      </c>
      <c r="G94" s="10" t="s">
        <v>34</v>
      </c>
      <c r="H94" s="10" t="n">
        <v>0</v>
      </c>
      <c r="I94" s="10" t="n">
        <v>0</v>
      </c>
      <c r="J94" s="11" t="n">
        <f aca="false">D94*E94</f>
        <v>7856</v>
      </c>
      <c r="K94" s="12" t="str">
        <f aca="false">IF(D94=0,"AGOTADO",IF(D94&lt;=3,"CRÍTICO",IF(D94&lt;=10,"MEDIO","SANO")))</f>
        <v>MEDIO</v>
      </c>
    </row>
    <row r="95" customFormat="false" ht="15" hidden="false" customHeight="false" outlineLevel="0" collapsed="false">
      <c r="A95" s="10" t="s">
        <v>227</v>
      </c>
      <c r="B95" s="10" t="s">
        <v>228</v>
      </c>
      <c r="C95" s="10" t="s">
        <v>43</v>
      </c>
      <c r="D95" s="10" t="n">
        <v>4</v>
      </c>
      <c r="E95" s="11" t="n">
        <v>1749</v>
      </c>
      <c r="F95" s="10" t="n">
        <v>0</v>
      </c>
      <c r="G95" s="10" t="s">
        <v>205</v>
      </c>
      <c r="H95" s="10" t="n">
        <v>0</v>
      </c>
      <c r="I95" s="10" t="n">
        <v>0</v>
      </c>
      <c r="J95" s="11" t="n">
        <f aca="false">D95*E95</f>
        <v>6996</v>
      </c>
      <c r="K95" s="12" t="str">
        <f aca="false">IF(D95=0,"AGOTADO",IF(D95&lt;=3,"CRÍTICO",IF(D95&lt;=10,"MEDIO","SANO")))</f>
        <v>MEDIO</v>
      </c>
    </row>
    <row r="96" customFormat="false" ht="15" hidden="false" customHeight="false" outlineLevel="0" collapsed="false">
      <c r="A96" s="10" t="s">
        <v>229</v>
      </c>
      <c r="B96" s="10" t="s">
        <v>230</v>
      </c>
      <c r="C96" s="10" t="s">
        <v>91</v>
      </c>
      <c r="D96" s="10" t="n">
        <v>5</v>
      </c>
      <c r="E96" s="11" t="n">
        <v>25000</v>
      </c>
      <c r="F96" s="10" t="n">
        <v>0</v>
      </c>
      <c r="G96" s="10" t="s">
        <v>34</v>
      </c>
      <c r="H96" s="10" t="n">
        <v>0</v>
      </c>
      <c r="I96" s="10" t="n">
        <v>0</v>
      </c>
      <c r="J96" s="11" t="n">
        <f aca="false">D96*E96</f>
        <v>125000</v>
      </c>
      <c r="K96" s="12" t="str">
        <f aca="false">IF(D96=0,"AGOTADO",IF(D96&lt;=3,"CRÍTICO",IF(D96&lt;=10,"MEDIO","SANO")))</f>
        <v>MEDIO</v>
      </c>
    </row>
    <row r="97" customFormat="false" ht="15" hidden="false" customHeight="false" outlineLevel="0" collapsed="false">
      <c r="A97" s="10" t="s">
        <v>231</v>
      </c>
      <c r="B97" s="10" t="s">
        <v>232</v>
      </c>
      <c r="C97" s="10" t="s">
        <v>43</v>
      </c>
      <c r="D97" s="10" t="n">
        <v>5</v>
      </c>
      <c r="E97" s="11" t="n">
        <v>23601</v>
      </c>
      <c r="F97" s="10" t="n">
        <v>0</v>
      </c>
      <c r="G97" s="10" t="s">
        <v>34</v>
      </c>
      <c r="H97" s="10" t="n">
        <v>0</v>
      </c>
      <c r="I97" s="10" t="n">
        <v>0</v>
      </c>
      <c r="J97" s="11" t="n">
        <f aca="false">D97*E97</f>
        <v>118005</v>
      </c>
      <c r="K97" s="12" t="str">
        <f aca="false">IF(D97=0,"AGOTADO",IF(D97&lt;=3,"CRÍTICO",IF(D97&lt;=10,"MEDIO","SANO")))</f>
        <v>MEDIO</v>
      </c>
    </row>
    <row r="98" customFormat="false" ht="15" hidden="false" customHeight="false" outlineLevel="0" collapsed="false">
      <c r="A98" s="10" t="s">
        <v>233</v>
      </c>
      <c r="B98" s="10" t="s">
        <v>234</v>
      </c>
      <c r="C98" s="10" t="s">
        <v>43</v>
      </c>
      <c r="D98" s="10" t="n">
        <v>5</v>
      </c>
      <c r="E98" s="11" t="n">
        <v>21861</v>
      </c>
      <c r="F98" s="10" t="n">
        <v>0</v>
      </c>
      <c r="G98" s="10" t="s">
        <v>34</v>
      </c>
      <c r="H98" s="10" t="n">
        <v>0</v>
      </c>
      <c r="I98" s="10" t="n">
        <v>0</v>
      </c>
      <c r="J98" s="11" t="n">
        <f aca="false">D98*E98</f>
        <v>109305</v>
      </c>
      <c r="K98" s="12" t="str">
        <f aca="false">IF(D98=0,"AGOTADO",IF(D98&lt;=3,"CRÍTICO",IF(D98&lt;=10,"MEDIO","SANO")))</f>
        <v>MEDIO</v>
      </c>
    </row>
    <row r="99" customFormat="false" ht="15" hidden="false" customHeight="false" outlineLevel="0" collapsed="false">
      <c r="A99" s="10" t="s">
        <v>235</v>
      </c>
      <c r="B99" s="10" t="s">
        <v>236</v>
      </c>
      <c r="C99" s="10" t="s">
        <v>33</v>
      </c>
      <c r="D99" s="10" t="n">
        <v>5</v>
      </c>
      <c r="E99" s="11" t="n">
        <v>14754</v>
      </c>
      <c r="F99" s="10" t="n">
        <v>0</v>
      </c>
      <c r="G99" s="10" t="s">
        <v>34</v>
      </c>
      <c r="H99" s="10" t="n">
        <v>0</v>
      </c>
      <c r="I99" s="10" t="n">
        <v>0</v>
      </c>
      <c r="J99" s="11" t="n">
        <f aca="false">D99*E99</f>
        <v>73770</v>
      </c>
      <c r="K99" s="12" t="str">
        <f aca="false">IF(D99=0,"AGOTADO",IF(D99&lt;=3,"CRÍTICO",IF(D99&lt;=10,"MEDIO","SANO")))</f>
        <v>MEDIO</v>
      </c>
    </row>
    <row r="100" customFormat="false" ht="15" hidden="false" customHeight="false" outlineLevel="0" collapsed="false">
      <c r="A100" s="10" t="s">
        <v>237</v>
      </c>
      <c r="B100" s="10" t="s">
        <v>238</v>
      </c>
      <c r="C100" s="10" t="s">
        <v>33</v>
      </c>
      <c r="D100" s="10" t="n">
        <v>5</v>
      </c>
      <c r="E100" s="11" t="n">
        <v>14616</v>
      </c>
      <c r="F100" s="10" t="n">
        <v>0</v>
      </c>
      <c r="G100" s="10" t="s">
        <v>34</v>
      </c>
      <c r="H100" s="10" t="n">
        <v>0</v>
      </c>
      <c r="I100" s="10" t="n">
        <v>0</v>
      </c>
      <c r="J100" s="11" t="n">
        <f aca="false">D100*E100</f>
        <v>73080</v>
      </c>
      <c r="K100" s="12" t="str">
        <f aca="false">IF(D100=0,"AGOTADO",IF(D100&lt;=3,"CRÍTICO",IF(D100&lt;=10,"MEDIO","SANO")))</f>
        <v>MEDIO</v>
      </c>
    </row>
    <row r="101" customFormat="false" ht="15" hidden="false" customHeight="false" outlineLevel="0" collapsed="false">
      <c r="A101" s="10" t="s">
        <v>239</v>
      </c>
      <c r="B101" s="10" t="s">
        <v>240</v>
      </c>
      <c r="C101" s="10" t="s">
        <v>33</v>
      </c>
      <c r="D101" s="10" t="n">
        <v>5</v>
      </c>
      <c r="E101" s="11" t="n">
        <v>11001</v>
      </c>
      <c r="F101" s="10" t="n">
        <v>0</v>
      </c>
      <c r="G101" s="10" t="s">
        <v>34</v>
      </c>
      <c r="H101" s="10" t="n">
        <v>0</v>
      </c>
      <c r="I101" s="10" t="n">
        <v>0</v>
      </c>
      <c r="J101" s="11" t="n">
        <f aca="false">D101*E101</f>
        <v>55005</v>
      </c>
      <c r="K101" s="12" t="str">
        <f aca="false">IF(D101=0,"AGOTADO",IF(D101&lt;=3,"CRÍTICO",IF(D101&lt;=10,"MEDIO","SANO")))</f>
        <v>MEDIO</v>
      </c>
    </row>
    <row r="102" customFormat="false" ht="15" hidden="false" customHeight="false" outlineLevel="0" collapsed="false">
      <c r="A102" s="10" t="s">
        <v>241</v>
      </c>
      <c r="B102" s="10" t="s">
        <v>242</v>
      </c>
      <c r="C102" s="10" t="s">
        <v>37</v>
      </c>
      <c r="D102" s="10" t="n">
        <v>5</v>
      </c>
      <c r="E102" s="11" t="n">
        <v>10770</v>
      </c>
      <c r="F102" s="10" t="n">
        <v>0</v>
      </c>
      <c r="G102" s="10" t="s">
        <v>205</v>
      </c>
      <c r="H102" s="10" t="n">
        <v>0</v>
      </c>
      <c r="I102" s="10" t="n">
        <v>0</v>
      </c>
      <c r="J102" s="11" t="n">
        <f aca="false">D102*E102</f>
        <v>53850</v>
      </c>
      <c r="K102" s="12" t="str">
        <f aca="false">IF(D102=0,"AGOTADO",IF(D102&lt;=3,"CRÍTICO",IF(D102&lt;=10,"MEDIO","SANO")))</f>
        <v>MEDIO</v>
      </c>
    </row>
    <row r="103" customFormat="false" ht="15" hidden="false" customHeight="false" outlineLevel="0" collapsed="false">
      <c r="A103" s="10" t="s">
        <v>243</v>
      </c>
      <c r="B103" s="10" t="s">
        <v>244</v>
      </c>
      <c r="C103" s="10" t="s">
        <v>33</v>
      </c>
      <c r="D103" s="10" t="n">
        <v>5</v>
      </c>
      <c r="E103" s="11" t="n">
        <v>10133</v>
      </c>
      <c r="F103" s="10" t="n">
        <v>0</v>
      </c>
      <c r="G103" s="10" t="s">
        <v>34</v>
      </c>
      <c r="H103" s="10" t="n">
        <v>0</v>
      </c>
      <c r="I103" s="10" t="n">
        <v>0</v>
      </c>
      <c r="J103" s="11" t="n">
        <f aca="false">D103*E103</f>
        <v>50665</v>
      </c>
      <c r="K103" s="12" t="str">
        <f aca="false">IF(D103=0,"AGOTADO",IF(D103&lt;=3,"CRÍTICO",IF(D103&lt;=10,"MEDIO","SANO")))</f>
        <v>MEDIO</v>
      </c>
    </row>
    <row r="104" customFormat="false" ht="15" hidden="false" customHeight="false" outlineLevel="0" collapsed="false">
      <c r="A104" s="10" t="s">
        <v>245</v>
      </c>
      <c r="B104" s="10" t="s">
        <v>246</v>
      </c>
      <c r="C104" s="10" t="s">
        <v>33</v>
      </c>
      <c r="D104" s="10" t="n">
        <v>5</v>
      </c>
      <c r="E104" s="11" t="n">
        <v>9207</v>
      </c>
      <c r="F104" s="10" t="n">
        <v>0</v>
      </c>
      <c r="G104" s="10" t="s">
        <v>34</v>
      </c>
      <c r="H104" s="10" t="n">
        <v>0</v>
      </c>
      <c r="I104" s="10" t="n">
        <v>0</v>
      </c>
      <c r="J104" s="11" t="n">
        <f aca="false">D104*E104</f>
        <v>46035</v>
      </c>
      <c r="K104" s="12" t="str">
        <f aca="false">IF(D104=0,"AGOTADO",IF(D104&lt;=3,"CRÍTICO",IF(D104&lt;=10,"MEDIO","SANO")))</f>
        <v>MEDIO</v>
      </c>
    </row>
    <row r="105" customFormat="false" ht="15" hidden="false" customHeight="false" outlineLevel="0" collapsed="false">
      <c r="A105" s="10" t="s">
        <v>247</v>
      </c>
      <c r="B105" s="10" t="s">
        <v>248</v>
      </c>
      <c r="C105" s="10" t="s">
        <v>43</v>
      </c>
      <c r="D105" s="10" t="n">
        <v>5</v>
      </c>
      <c r="E105" s="11" t="n">
        <v>6778</v>
      </c>
      <c r="F105" s="10" t="n">
        <v>0</v>
      </c>
      <c r="G105" s="10" t="s">
        <v>34</v>
      </c>
      <c r="H105" s="10" t="n">
        <v>0</v>
      </c>
      <c r="I105" s="10" t="n">
        <v>0</v>
      </c>
      <c r="J105" s="11" t="n">
        <f aca="false">D105*E105</f>
        <v>33890</v>
      </c>
      <c r="K105" s="12" t="str">
        <f aca="false">IF(D105=0,"AGOTADO",IF(D105&lt;=3,"CRÍTICO",IF(D105&lt;=10,"MEDIO","SANO")))</f>
        <v>MEDIO</v>
      </c>
    </row>
    <row r="106" customFormat="false" ht="15" hidden="false" customHeight="false" outlineLevel="0" collapsed="false">
      <c r="A106" s="10" t="s">
        <v>225</v>
      </c>
      <c r="B106" s="10" t="s">
        <v>249</v>
      </c>
      <c r="C106" s="10" t="s">
        <v>70</v>
      </c>
      <c r="D106" s="10" t="n">
        <v>5</v>
      </c>
      <c r="E106" s="11" t="n">
        <v>5000</v>
      </c>
      <c r="F106" s="10" t="n">
        <v>0</v>
      </c>
      <c r="G106" s="10" t="s">
        <v>34</v>
      </c>
      <c r="H106" s="10" t="n">
        <v>0</v>
      </c>
      <c r="I106" s="10" t="n">
        <v>0</v>
      </c>
      <c r="J106" s="11" t="n">
        <f aca="false">D106*E106</f>
        <v>25000</v>
      </c>
      <c r="K106" s="12" t="str">
        <f aca="false">IF(D106=0,"AGOTADO",IF(D106&lt;=3,"CRÍTICO",IF(D106&lt;=10,"MEDIO","SANO")))</f>
        <v>MEDIO</v>
      </c>
    </row>
    <row r="107" customFormat="false" ht="15" hidden="false" customHeight="false" outlineLevel="0" collapsed="false">
      <c r="A107" s="10" t="s">
        <v>250</v>
      </c>
      <c r="B107" s="10" t="s">
        <v>251</v>
      </c>
      <c r="C107" s="10" t="s">
        <v>43</v>
      </c>
      <c r="D107" s="10" t="n">
        <v>5</v>
      </c>
      <c r="E107" s="11" t="n">
        <v>3754</v>
      </c>
      <c r="F107" s="10" t="n">
        <v>0</v>
      </c>
      <c r="G107" s="10" t="s">
        <v>34</v>
      </c>
      <c r="H107" s="10" t="n">
        <v>0</v>
      </c>
      <c r="I107" s="10" t="n">
        <v>0</v>
      </c>
      <c r="J107" s="11" t="n">
        <f aca="false">D107*E107</f>
        <v>18770</v>
      </c>
      <c r="K107" s="12" t="str">
        <f aca="false">IF(D107=0,"AGOTADO",IF(D107&lt;=3,"CRÍTICO",IF(D107&lt;=10,"MEDIO","SANO")))</f>
        <v>MEDIO</v>
      </c>
    </row>
    <row r="108" customFormat="false" ht="15" hidden="false" customHeight="false" outlineLevel="0" collapsed="false">
      <c r="A108" s="10" t="s">
        <v>252</v>
      </c>
      <c r="B108" s="10" t="s">
        <v>253</v>
      </c>
      <c r="C108" s="10" t="s">
        <v>70</v>
      </c>
      <c r="D108" s="10" t="n">
        <v>5</v>
      </c>
      <c r="E108" s="11" t="n">
        <v>815</v>
      </c>
      <c r="F108" s="10" t="n">
        <v>0</v>
      </c>
      <c r="G108" s="10" t="s">
        <v>34</v>
      </c>
      <c r="H108" s="10" t="n">
        <v>0</v>
      </c>
      <c r="I108" s="10" t="n">
        <v>0</v>
      </c>
      <c r="J108" s="11" t="n">
        <f aca="false">D108*E108</f>
        <v>4075</v>
      </c>
      <c r="K108" s="12" t="str">
        <f aca="false">IF(D108=0,"AGOTADO",IF(D108&lt;=3,"CRÍTICO",IF(D108&lt;=10,"MEDIO","SANO")))</f>
        <v>MEDIO</v>
      </c>
    </row>
    <row r="109" customFormat="false" ht="15" hidden="false" customHeight="false" outlineLevel="0" collapsed="false">
      <c r="A109" s="10" t="s">
        <v>254</v>
      </c>
      <c r="B109" s="10" t="s">
        <v>255</v>
      </c>
      <c r="C109" s="10" t="s">
        <v>33</v>
      </c>
      <c r="D109" s="10" t="n">
        <v>6</v>
      </c>
      <c r="E109" s="11" t="n">
        <v>11060</v>
      </c>
      <c r="F109" s="10" t="n">
        <v>0</v>
      </c>
      <c r="G109" s="10" t="s">
        <v>34</v>
      </c>
      <c r="H109" s="10" t="n">
        <v>0</v>
      </c>
      <c r="I109" s="10" t="n">
        <v>0</v>
      </c>
      <c r="J109" s="11" t="n">
        <f aca="false">D109*E109</f>
        <v>66360</v>
      </c>
      <c r="K109" s="12" t="str">
        <f aca="false">IF(D109=0,"AGOTADO",IF(D109&lt;=3,"CRÍTICO",IF(D109&lt;=10,"MEDIO","SANO")))</f>
        <v>MEDIO</v>
      </c>
    </row>
    <row r="110" customFormat="false" ht="15" hidden="false" customHeight="false" outlineLevel="0" collapsed="false">
      <c r="A110" s="10" t="s">
        <v>256</v>
      </c>
      <c r="B110" s="10" t="s">
        <v>257</v>
      </c>
      <c r="C110" s="10" t="s">
        <v>33</v>
      </c>
      <c r="D110" s="10" t="n">
        <v>6</v>
      </c>
      <c r="E110" s="11" t="n">
        <v>10566</v>
      </c>
      <c r="F110" s="10" t="n">
        <v>0</v>
      </c>
      <c r="G110" s="10" t="s">
        <v>34</v>
      </c>
      <c r="H110" s="10" t="n">
        <v>0</v>
      </c>
      <c r="I110" s="10" t="n">
        <v>0</v>
      </c>
      <c r="J110" s="11" t="n">
        <f aca="false">D110*E110</f>
        <v>63396</v>
      </c>
      <c r="K110" s="12" t="str">
        <f aca="false">IF(D110=0,"AGOTADO",IF(D110&lt;=3,"CRÍTICO",IF(D110&lt;=10,"MEDIO","SANO")))</f>
        <v>MEDIO</v>
      </c>
    </row>
    <row r="111" customFormat="false" ht="15" hidden="false" customHeight="false" outlineLevel="0" collapsed="false">
      <c r="A111" s="10" t="s">
        <v>258</v>
      </c>
      <c r="B111" s="10" t="s">
        <v>259</v>
      </c>
      <c r="C111" s="10" t="s">
        <v>33</v>
      </c>
      <c r="D111" s="10" t="n">
        <v>6</v>
      </c>
      <c r="E111" s="11" t="n">
        <v>9181</v>
      </c>
      <c r="F111" s="10" t="n">
        <v>0</v>
      </c>
      <c r="G111" s="10" t="s">
        <v>34</v>
      </c>
      <c r="H111" s="10" t="n">
        <v>0</v>
      </c>
      <c r="I111" s="10" t="n">
        <v>0</v>
      </c>
      <c r="J111" s="11" t="n">
        <f aca="false">D111*E111</f>
        <v>55086</v>
      </c>
      <c r="K111" s="12" t="str">
        <f aca="false">IF(D111=0,"AGOTADO",IF(D111&lt;=3,"CRÍTICO",IF(D111&lt;=10,"MEDIO","SANO")))</f>
        <v>MEDIO</v>
      </c>
    </row>
    <row r="112" customFormat="false" ht="15" hidden="false" customHeight="false" outlineLevel="0" collapsed="false">
      <c r="A112" s="10" t="s">
        <v>260</v>
      </c>
      <c r="B112" s="10" t="s">
        <v>261</v>
      </c>
      <c r="C112" s="10" t="s">
        <v>33</v>
      </c>
      <c r="D112" s="10" t="n">
        <v>6</v>
      </c>
      <c r="E112" s="11" t="n">
        <v>8033</v>
      </c>
      <c r="F112" s="10" t="n">
        <v>0</v>
      </c>
      <c r="G112" s="10" t="s">
        <v>34</v>
      </c>
      <c r="H112" s="10" t="n">
        <v>0</v>
      </c>
      <c r="I112" s="10" t="n">
        <v>0</v>
      </c>
      <c r="J112" s="11" t="n">
        <f aca="false">D112*E112</f>
        <v>48198</v>
      </c>
      <c r="K112" s="12" t="str">
        <f aca="false">IF(D112=0,"AGOTADO",IF(D112&lt;=3,"CRÍTICO",IF(D112&lt;=10,"MEDIO","SANO")))</f>
        <v>MEDIO</v>
      </c>
    </row>
    <row r="113" customFormat="false" ht="15" hidden="false" customHeight="false" outlineLevel="0" collapsed="false">
      <c r="A113" s="10" t="s">
        <v>262</v>
      </c>
      <c r="B113" s="10" t="s">
        <v>263</v>
      </c>
      <c r="C113" s="10" t="s">
        <v>43</v>
      </c>
      <c r="D113" s="10" t="n">
        <v>6</v>
      </c>
      <c r="E113" s="11" t="n">
        <v>7473</v>
      </c>
      <c r="F113" s="10" t="n">
        <v>0</v>
      </c>
      <c r="G113" s="10" t="s">
        <v>34</v>
      </c>
      <c r="H113" s="10" t="n">
        <v>0</v>
      </c>
      <c r="I113" s="10" t="n">
        <v>0</v>
      </c>
      <c r="J113" s="11" t="n">
        <f aca="false">D113*E113</f>
        <v>44838</v>
      </c>
      <c r="K113" s="12" t="str">
        <f aca="false">IF(D113=0,"AGOTADO",IF(D113&lt;=3,"CRÍTICO",IF(D113&lt;=10,"MEDIO","SANO")))</f>
        <v>MEDIO</v>
      </c>
    </row>
    <row r="114" customFormat="false" ht="15" hidden="false" customHeight="false" outlineLevel="0" collapsed="false">
      <c r="A114" s="10" t="s">
        <v>264</v>
      </c>
      <c r="B114" s="10" t="s">
        <v>265</v>
      </c>
      <c r="C114" s="10" t="s">
        <v>43</v>
      </c>
      <c r="D114" s="10" t="n">
        <v>6</v>
      </c>
      <c r="E114" s="11" t="n">
        <v>3880</v>
      </c>
      <c r="F114" s="10" t="n">
        <v>0</v>
      </c>
      <c r="G114" s="10" t="s">
        <v>34</v>
      </c>
      <c r="H114" s="10" t="n">
        <v>0</v>
      </c>
      <c r="I114" s="10" t="n">
        <v>0</v>
      </c>
      <c r="J114" s="11" t="n">
        <f aca="false">D114*E114</f>
        <v>23280</v>
      </c>
      <c r="K114" s="12" t="str">
        <f aca="false">IF(D114=0,"AGOTADO",IF(D114&lt;=3,"CRÍTICO",IF(D114&lt;=10,"MEDIO","SANO")))</f>
        <v>MEDIO</v>
      </c>
    </row>
    <row r="115" customFormat="false" ht="15" hidden="false" customHeight="false" outlineLevel="0" collapsed="false">
      <c r="A115" s="10" t="s">
        <v>266</v>
      </c>
      <c r="B115" s="10" t="s">
        <v>267</v>
      </c>
      <c r="C115" s="10" t="s">
        <v>40</v>
      </c>
      <c r="D115" s="10" t="n">
        <v>6</v>
      </c>
      <c r="E115" s="11" t="n">
        <v>3128</v>
      </c>
      <c r="F115" s="10" t="n">
        <v>3128</v>
      </c>
      <c r="G115" s="10" t="s">
        <v>174</v>
      </c>
      <c r="H115" s="10" t="n">
        <v>0</v>
      </c>
      <c r="I115" s="10" t="n">
        <v>0</v>
      </c>
      <c r="J115" s="11" t="n">
        <f aca="false">D115*E115</f>
        <v>18768</v>
      </c>
      <c r="K115" s="12" t="str">
        <f aca="false">IF(D115=0,"AGOTADO",IF(D115&lt;=3,"CRÍTICO",IF(D115&lt;=10,"MEDIO","SANO")))</f>
        <v>MEDIO</v>
      </c>
    </row>
    <row r="116" customFormat="false" ht="15" hidden="false" customHeight="false" outlineLevel="0" collapsed="false">
      <c r="A116" s="10" t="s">
        <v>268</v>
      </c>
      <c r="B116" s="10" t="s">
        <v>269</v>
      </c>
      <c r="C116" s="10" t="s">
        <v>37</v>
      </c>
      <c r="D116" s="10" t="n">
        <v>6</v>
      </c>
      <c r="E116" s="11" t="n">
        <v>2745</v>
      </c>
      <c r="F116" s="10" t="n">
        <v>0</v>
      </c>
      <c r="G116" s="10" t="s">
        <v>34</v>
      </c>
      <c r="H116" s="10" t="n">
        <v>0</v>
      </c>
      <c r="I116" s="10" t="n">
        <v>0</v>
      </c>
      <c r="J116" s="11" t="n">
        <f aca="false">D116*E116</f>
        <v>16470</v>
      </c>
      <c r="K116" s="12" t="str">
        <f aca="false">IF(D116=0,"AGOTADO",IF(D116&lt;=3,"CRÍTICO",IF(D116&lt;=10,"MEDIO","SANO")))</f>
        <v>MEDIO</v>
      </c>
    </row>
    <row r="117" customFormat="false" ht="15" hidden="false" customHeight="false" outlineLevel="0" collapsed="false">
      <c r="A117" s="10" t="s">
        <v>270</v>
      </c>
      <c r="B117" s="10" t="s">
        <v>271</v>
      </c>
      <c r="C117" s="10" t="s">
        <v>70</v>
      </c>
      <c r="D117" s="10" t="n">
        <v>6</v>
      </c>
      <c r="E117" s="11" t="n">
        <v>2140</v>
      </c>
      <c r="F117" s="10" t="n">
        <v>0</v>
      </c>
      <c r="G117" s="10" t="s">
        <v>34</v>
      </c>
      <c r="H117" s="10" t="n">
        <v>0</v>
      </c>
      <c r="I117" s="10" t="n">
        <v>0</v>
      </c>
      <c r="J117" s="11" t="n">
        <f aca="false">D117*E117</f>
        <v>12840</v>
      </c>
      <c r="K117" s="12" t="str">
        <f aca="false">IF(D117=0,"AGOTADO",IF(D117&lt;=3,"CRÍTICO",IF(D117&lt;=10,"MEDIO","SANO")))</f>
        <v>MEDIO</v>
      </c>
    </row>
    <row r="118" customFormat="false" ht="15" hidden="false" customHeight="false" outlineLevel="0" collapsed="false">
      <c r="A118" s="10" t="s">
        <v>272</v>
      </c>
      <c r="B118" s="10" t="s">
        <v>273</v>
      </c>
      <c r="C118" s="10" t="s">
        <v>70</v>
      </c>
      <c r="D118" s="10" t="n">
        <v>6</v>
      </c>
      <c r="E118" s="11" t="n">
        <v>1463</v>
      </c>
      <c r="F118" s="10" t="n">
        <v>0</v>
      </c>
      <c r="G118" s="10" t="s">
        <v>34</v>
      </c>
      <c r="H118" s="10" t="n">
        <v>0</v>
      </c>
      <c r="I118" s="10" t="n">
        <v>0</v>
      </c>
      <c r="J118" s="11" t="n">
        <f aca="false">D118*E118</f>
        <v>8778</v>
      </c>
      <c r="K118" s="12" t="str">
        <f aca="false">IF(D118=0,"AGOTADO",IF(D118&lt;=3,"CRÍTICO",IF(D118&lt;=10,"MEDIO","SANO")))</f>
        <v>MEDIO</v>
      </c>
    </row>
    <row r="119" customFormat="false" ht="15" hidden="false" customHeight="false" outlineLevel="0" collapsed="false">
      <c r="A119" s="10" t="s">
        <v>274</v>
      </c>
      <c r="B119" s="10" t="s">
        <v>275</v>
      </c>
      <c r="C119" s="10" t="s">
        <v>91</v>
      </c>
      <c r="D119" s="10" t="n">
        <v>7</v>
      </c>
      <c r="E119" s="11" t="n">
        <v>35000</v>
      </c>
      <c r="F119" s="10" t="n">
        <v>0</v>
      </c>
      <c r="G119" s="10" t="s">
        <v>34</v>
      </c>
      <c r="H119" s="10" t="n">
        <v>0</v>
      </c>
      <c r="I119" s="10" t="n">
        <v>0</v>
      </c>
      <c r="J119" s="11" t="n">
        <f aca="false">D119*E119</f>
        <v>245000</v>
      </c>
      <c r="K119" s="12" t="str">
        <f aca="false">IF(D119=0,"AGOTADO",IF(D119&lt;=3,"CRÍTICO",IF(D119&lt;=10,"MEDIO","SANO")))</f>
        <v>MEDIO</v>
      </c>
    </row>
    <row r="120" customFormat="false" ht="15" hidden="false" customHeight="false" outlineLevel="0" collapsed="false">
      <c r="A120" s="10" t="s">
        <v>276</v>
      </c>
      <c r="B120" s="10" t="s">
        <v>277</v>
      </c>
      <c r="C120" s="10" t="s">
        <v>43</v>
      </c>
      <c r="D120" s="10" t="n">
        <v>7</v>
      </c>
      <c r="E120" s="11" t="n">
        <v>16934</v>
      </c>
      <c r="F120" s="10" t="n">
        <v>0</v>
      </c>
      <c r="G120" s="10" t="s">
        <v>34</v>
      </c>
      <c r="H120" s="10" t="n">
        <v>0</v>
      </c>
      <c r="I120" s="10" t="n">
        <v>0</v>
      </c>
      <c r="J120" s="11" t="n">
        <f aca="false">D120*E120</f>
        <v>118538</v>
      </c>
      <c r="K120" s="12" t="str">
        <f aca="false">IF(D120=0,"AGOTADO",IF(D120&lt;=3,"CRÍTICO",IF(D120&lt;=10,"MEDIO","SANO")))</f>
        <v>MEDIO</v>
      </c>
    </row>
    <row r="121" customFormat="false" ht="15" hidden="false" customHeight="false" outlineLevel="0" collapsed="false">
      <c r="A121" s="10" t="s">
        <v>278</v>
      </c>
      <c r="B121" s="10" t="s">
        <v>279</v>
      </c>
      <c r="C121" s="10" t="s">
        <v>37</v>
      </c>
      <c r="D121" s="10" t="n">
        <v>7</v>
      </c>
      <c r="E121" s="11" t="n">
        <v>5319</v>
      </c>
      <c r="F121" s="10" t="n">
        <v>0</v>
      </c>
      <c r="G121" s="10" t="s">
        <v>34</v>
      </c>
      <c r="H121" s="10" t="n">
        <v>0</v>
      </c>
      <c r="I121" s="10" t="n">
        <v>0</v>
      </c>
      <c r="J121" s="11" t="n">
        <f aca="false">D121*E121</f>
        <v>37233</v>
      </c>
      <c r="K121" s="12" t="str">
        <f aca="false">IF(D121=0,"AGOTADO",IF(D121&lt;=3,"CRÍTICO",IF(D121&lt;=10,"MEDIO","SANO")))</f>
        <v>MEDIO</v>
      </c>
    </row>
    <row r="122" customFormat="false" ht="15" hidden="false" customHeight="false" outlineLevel="0" collapsed="false">
      <c r="A122" s="10" t="s">
        <v>280</v>
      </c>
      <c r="B122" s="10" t="s">
        <v>281</v>
      </c>
      <c r="C122" s="10" t="s">
        <v>33</v>
      </c>
      <c r="D122" s="10" t="n">
        <v>7</v>
      </c>
      <c r="E122" s="11" t="n">
        <v>1813</v>
      </c>
      <c r="F122" s="10" t="n">
        <v>0</v>
      </c>
      <c r="G122" s="10" t="s">
        <v>34</v>
      </c>
      <c r="H122" s="10" t="n">
        <v>0</v>
      </c>
      <c r="I122" s="10" t="n">
        <v>0</v>
      </c>
      <c r="J122" s="11" t="n">
        <f aca="false">D122*E122</f>
        <v>12691</v>
      </c>
      <c r="K122" s="12" t="str">
        <f aca="false">IF(D122=0,"AGOTADO",IF(D122&lt;=3,"CRÍTICO",IF(D122&lt;=10,"MEDIO","SANO")))</f>
        <v>MEDIO</v>
      </c>
    </row>
    <row r="123" customFormat="false" ht="15" hidden="false" customHeight="false" outlineLevel="0" collapsed="false">
      <c r="A123" s="10" t="s">
        <v>282</v>
      </c>
      <c r="B123" s="10" t="s">
        <v>283</v>
      </c>
      <c r="C123" s="10" t="s">
        <v>37</v>
      </c>
      <c r="D123" s="10" t="n">
        <v>7</v>
      </c>
      <c r="E123" s="11" t="n">
        <v>1447</v>
      </c>
      <c r="F123" s="10" t="n">
        <v>0</v>
      </c>
      <c r="G123" s="10" t="s">
        <v>34</v>
      </c>
      <c r="H123" s="10" t="n">
        <v>0</v>
      </c>
      <c r="I123" s="10" t="n">
        <v>0</v>
      </c>
      <c r="J123" s="11" t="n">
        <f aca="false">D123*E123</f>
        <v>10129</v>
      </c>
      <c r="K123" s="12" t="str">
        <f aca="false">IF(D123=0,"AGOTADO",IF(D123&lt;=3,"CRÍTICO",IF(D123&lt;=10,"MEDIO","SANO")))</f>
        <v>MEDIO</v>
      </c>
    </row>
    <row r="124" customFormat="false" ht="15" hidden="false" customHeight="false" outlineLevel="0" collapsed="false">
      <c r="A124" s="10" t="s">
        <v>284</v>
      </c>
      <c r="B124" s="10" t="s">
        <v>285</v>
      </c>
      <c r="C124" s="10" t="s">
        <v>43</v>
      </c>
      <c r="D124" s="10" t="n">
        <v>7</v>
      </c>
      <c r="E124" s="11" t="n">
        <v>1056</v>
      </c>
      <c r="F124" s="10" t="n">
        <v>0</v>
      </c>
      <c r="G124" s="10" t="s">
        <v>34</v>
      </c>
      <c r="H124" s="10" t="n">
        <v>0</v>
      </c>
      <c r="I124" s="10" t="n">
        <v>0</v>
      </c>
      <c r="J124" s="11" t="n">
        <f aca="false">D124*E124</f>
        <v>7392</v>
      </c>
      <c r="K124" s="12" t="str">
        <f aca="false">IF(D124=0,"AGOTADO",IF(D124&lt;=3,"CRÍTICO",IF(D124&lt;=10,"MEDIO","SANO")))</f>
        <v>MEDIO</v>
      </c>
    </row>
    <row r="125" customFormat="false" ht="15" hidden="false" customHeight="false" outlineLevel="0" collapsed="false">
      <c r="A125" s="10" t="s">
        <v>286</v>
      </c>
      <c r="B125" s="10" t="s">
        <v>287</v>
      </c>
      <c r="C125" s="10" t="s">
        <v>43</v>
      </c>
      <c r="D125" s="10" t="n">
        <v>8</v>
      </c>
      <c r="E125" s="11" t="n">
        <v>9949</v>
      </c>
      <c r="F125" s="10" t="n">
        <v>0</v>
      </c>
      <c r="G125" s="10" t="s">
        <v>34</v>
      </c>
      <c r="H125" s="10" t="n">
        <v>0</v>
      </c>
      <c r="I125" s="10" t="n">
        <v>0</v>
      </c>
      <c r="J125" s="11" t="n">
        <f aca="false">D125*E125</f>
        <v>79592</v>
      </c>
      <c r="K125" s="12" t="str">
        <f aca="false">IF(D125=0,"AGOTADO",IF(D125&lt;=3,"CRÍTICO",IF(D125&lt;=10,"MEDIO","SANO")))</f>
        <v>MEDIO</v>
      </c>
    </row>
    <row r="126" customFormat="false" ht="15" hidden="false" customHeight="false" outlineLevel="0" collapsed="false">
      <c r="A126" s="10" t="s">
        <v>288</v>
      </c>
      <c r="B126" s="10" t="s">
        <v>289</v>
      </c>
      <c r="C126" s="10" t="s">
        <v>33</v>
      </c>
      <c r="D126" s="10" t="n">
        <v>8</v>
      </c>
      <c r="E126" s="11" t="n">
        <v>6911</v>
      </c>
      <c r="F126" s="10" t="n">
        <v>0</v>
      </c>
      <c r="G126" s="10" t="s">
        <v>34</v>
      </c>
      <c r="H126" s="10" t="n">
        <v>0</v>
      </c>
      <c r="I126" s="10" t="n">
        <v>0</v>
      </c>
      <c r="J126" s="11" t="n">
        <f aca="false">D126*E126</f>
        <v>55288</v>
      </c>
      <c r="K126" s="12" t="str">
        <f aca="false">IF(D126=0,"AGOTADO",IF(D126&lt;=3,"CRÍTICO",IF(D126&lt;=10,"MEDIO","SANO")))</f>
        <v>MEDIO</v>
      </c>
    </row>
    <row r="127" customFormat="false" ht="15" hidden="false" customHeight="false" outlineLevel="0" collapsed="false">
      <c r="A127" s="10" t="s">
        <v>290</v>
      </c>
      <c r="B127" s="10" t="s">
        <v>291</v>
      </c>
      <c r="C127" s="10" t="s">
        <v>43</v>
      </c>
      <c r="D127" s="10" t="n">
        <v>8</v>
      </c>
      <c r="E127" s="11" t="n">
        <v>6093</v>
      </c>
      <c r="F127" s="10" t="n">
        <v>0</v>
      </c>
      <c r="G127" s="10" t="s">
        <v>292</v>
      </c>
      <c r="H127" s="10" t="n">
        <v>0</v>
      </c>
      <c r="I127" s="10" t="n">
        <v>0</v>
      </c>
      <c r="J127" s="11" t="n">
        <f aca="false">D127*E127</f>
        <v>48744</v>
      </c>
      <c r="K127" s="12" t="str">
        <f aca="false">IF(D127=0,"AGOTADO",IF(D127&lt;=3,"CRÍTICO",IF(D127&lt;=10,"MEDIO","SANO")))</f>
        <v>MEDIO</v>
      </c>
    </row>
    <row r="128" customFormat="false" ht="15" hidden="false" customHeight="false" outlineLevel="0" collapsed="false">
      <c r="A128" s="10" t="s">
        <v>293</v>
      </c>
      <c r="B128" s="10" t="s">
        <v>294</v>
      </c>
      <c r="C128" s="10" t="s">
        <v>43</v>
      </c>
      <c r="D128" s="10" t="n">
        <v>8</v>
      </c>
      <c r="E128" s="11" t="n">
        <v>948</v>
      </c>
      <c r="F128" s="10" t="n">
        <v>0</v>
      </c>
      <c r="G128" s="10" t="s">
        <v>34</v>
      </c>
      <c r="H128" s="10" t="n">
        <v>0</v>
      </c>
      <c r="I128" s="10" t="n">
        <v>0</v>
      </c>
      <c r="J128" s="11" t="n">
        <f aca="false">D128*E128</f>
        <v>7584</v>
      </c>
      <c r="K128" s="12" t="str">
        <f aca="false">IF(D128=0,"AGOTADO",IF(D128&lt;=3,"CRÍTICO",IF(D128&lt;=10,"MEDIO","SANO")))</f>
        <v>MEDIO</v>
      </c>
    </row>
    <row r="129" customFormat="false" ht="15" hidden="false" customHeight="false" outlineLevel="0" collapsed="false">
      <c r="A129" s="10" t="s">
        <v>295</v>
      </c>
      <c r="B129" s="10" t="s">
        <v>296</v>
      </c>
      <c r="C129" s="10" t="s">
        <v>33</v>
      </c>
      <c r="D129" s="10" t="n">
        <v>9</v>
      </c>
      <c r="E129" s="11" t="n">
        <v>9449</v>
      </c>
      <c r="F129" s="10" t="n">
        <v>0</v>
      </c>
      <c r="G129" s="10" t="s">
        <v>34</v>
      </c>
      <c r="H129" s="10" t="n">
        <v>0</v>
      </c>
      <c r="I129" s="10" t="n">
        <v>0</v>
      </c>
      <c r="J129" s="11" t="n">
        <f aca="false">D129*E129</f>
        <v>85041</v>
      </c>
      <c r="K129" s="12" t="str">
        <f aca="false">IF(D129=0,"AGOTADO",IF(D129&lt;=3,"CRÍTICO",IF(D129&lt;=10,"MEDIO","SANO")))</f>
        <v>MEDIO</v>
      </c>
    </row>
    <row r="130" customFormat="false" ht="15" hidden="false" customHeight="false" outlineLevel="0" collapsed="false">
      <c r="A130" s="10" t="s">
        <v>297</v>
      </c>
      <c r="B130" s="10" t="s">
        <v>298</v>
      </c>
      <c r="C130" s="10" t="s">
        <v>43</v>
      </c>
      <c r="D130" s="10" t="n">
        <v>10</v>
      </c>
      <c r="E130" s="11" t="n">
        <v>1876</v>
      </c>
      <c r="F130" s="10" t="n">
        <v>0</v>
      </c>
      <c r="G130" s="10" t="s">
        <v>34</v>
      </c>
      <c r="H130" s="10" t="n">
        <v>0</v>
      </c>
      <c r="I130" s="10" t="n">
        <v>0</v>
      </c>
      <c r="J130" s="11" t="n">
        <f aca="false">D130*E130</f>
        <v>18760</v>
      </c>
      <c r="K130" s="12" t="str">
        <f aca="false">IF(D130=0,"AGOTADO",IF(D130&lt;=3,"CRÍTICO",IF(D130&lt;=10,"MEDIO","SANO")))</f>
        <v>MEDIO</v>
      </c>
    </row>
    <row r="131" customFormat="false" ht="15" hidden="false" customHeight="false" outlineLevel="0" collapsed="false">
      <c r="A131" s="10" t="s">
        <v>299</v>
      </c>
      <c r="B131" s="10" t="s">
        <v>300</v>
      </c>
      <c r="C131" s="10" t="s">
        <v>40</v>
      </c>
      <c r="D131" s="10" t="n">
        <v>10</v>
      </c>
      <c r="E131" s="11" t="n">
        <v>459</v>
      </c>
      <c r="F131" s="10" t="n">
        <v>459</v>
      </c>
      <c r="G131" s="10" t="s">
        <v>301</v>
      </c>
      <c r="H131" s="10" t="n">
        <v>0</v>
      </c>
      <c r="I131" s="10" t="n">
        <v>0</v>
      </c>
      <c r="J131" s="11" t="n">
        <f aca="false">D131*E131</f>
        <v>4590</v>
      </c>
      <c r="K131" s="12" t="str">
        <f aca="false">IF(D131=0,"AGOTADO",IF(D131&lt;=3,"CRÍTICO",IF(D131&lt;=10,"MEDIO","SANO")))</f>
        <v>MEDIO</v>
      </c>
    </row>
    <row r="132" customFormat="false" ht="15" hidden="false" customHeight="false" outlineLevel="0" collapsed="false">
      <c r="A132" s="10" t="s">
        <v>302</v>
      </c>
      <c r="B132" s="10" t="s">
        <v>303</v>
      </c>
      <c r="C132" s="10" t="s">
        <v>33</v>
      </c>
      <c r="D132" s="10" t="n">
        <v>11</v>
      </c>
      <c r="E132" s="11" t="n">
        <v>8888</v>
      </c>
      <c r="F132" s="10" t="n">
        <v>0</v>
      </c>
      <c r="G132" s="10" t="s">
        <v>301</v>
      </c>
      <c r="H132" s="10" t="n">
        <v>0</v>
      </c>
      <c r="I132" s="10" t="n">
        <v>0</v>
      </c>
      <c r="J132" s="11" t="n">
        <f aca="false">D132*E132</f>
        <v>97768</v>
      </c>
      <c r="K132" s="12" t="str">
        <f aca="false">IF(D132=0,"AGOTADO",IF(D132&lt;=3,"CRÍTICO",IF(D132&lt;=10,"MEDIO","SANO")))</f>
        <v>SANO</v>
      </c>
    </row>
    <row r="133" customFormat="false" ht="15" hidden="false" customHeight="false" outlineLevel="0" collapsed="false">
      <c r="A133" s="10" t="s">
        <v>304</v>
      </c>
      <c r="B133" s="10" t="s">
        <v>305</v>
      </c>
      <c r="C133" s="10" t="s">
        <v>33</v>
      </c>
      <c r="D133" s="10" t="n">
        <v>14</v>
      </c>
      <c r="E133" s="11" t="n">
        <v>6008</v>
      </c>
      <c r="F133" s="10" t="n">
        <v>0</v>
      </c>
      <c r="G133" s="10" t="s">
        <v>34</v>
      </c>
      <c r="H133" s="10" t="n">
        <v>0</v>
      </c>
      <c r="I133" s="10" t="n">
        <v>0</v>
      </c>
      <c r="J133" s="11" t="n">
        <f aca="false">D133*E133</f>
        <v>84112</v>
      </c>
      <c r="K133" s="12" t="str">
        <f aca="false">IF(D133=0,"AGOTADO",IF(D133&lt;=3,"CRÍTICO",IF(D133&lt;=10,"MEDIO","SANO")))</f>
        <v>SANO</v>
      </c>
    </row>
    <row r="134" customFormat="false" ht="15" hidden="false" customHeight="false" outlineLevel="0" collapsed="false">
      <c r="A134" s="10" t="s">
        <v>306</v>
      </c>
      <c r="B134" s="10" t="s">
        <v>307</v>
      </c>
      <c r="C134" s="10" t="s">
        <v>33</v>
      </c>
      <c r="D134" s="10" t="n">
        <v>15</v>
      </c>
      <c r="E134" s="11" t="n">
        <v>9125</v>
      </c>
      <c r="F134" s="10" t="n">
        <v>0</v>
      </c>
      <c r="G134" s="10" t="s">
        <v>34</v>
      </c>
      <c r="H134" s="10" t="n">
        <v>0</v>
      </c>
      <c r="I134" s="10" t="n">
        <v>0</v>
      </c>
      <c r="J134" s="11" t="n">
        <f aca="false">D134*E134</f>
        <v>136875</v>
      </c>
      <c r="K134" s="12" t="str">
        <f aca="false">IF(D134=0,"AGOTADO",IF(D134&lt;=3,"CRÍTICO",IF(D134&lt;=10,"MEDIO","SANO")))</f>
        <v>SANO</v>
      </c>
    </row>
    <row r="135" customFormat="false" ht="15" hidden="false" customHeight="false" outlineLevel="0" collapsed="false">
      <c r="A135" s="10" t="s">
        <v>308</v>
      </c>
      <c r="B135" s="10" t="s">
        <v>309</v>
      </c>
      <c r="C135" s="10" t="s">
        <v>43</v>
      </c>
      <c r="D135" s="10" t="n">
        <v>15</v>
      </c>
      <c r="E135" s="11" t="n">
        <v>1571</v>
      </c>
      <c r="F135" s="10" t="n">
        <v>0</v>
      </c>
      <c r="G135" s="10" t="s">
        <v>34</v>
      </c>
      <c r="H135" s="10" t="n">
        <v>0</v>
      </c>
      <c r="I135" s="10" t="n">
        <v>0</v>
      </c>
      <c r="J135" s="11" t="n">
        <f aca="false">D135*E135</f>
        <v>23565</v>
      </c>
      <c r="K135" s="12" t="str">
        <f aca="false">IF(D135=0,"AGOTADO",IF(D135&lt;=3,"CRÍTICO",IF(D135&lt;=10,"MEDIO","SANO")))</f>
        <v>SANO</v>
      </c>
    </row>
    <row r="136" customFormat="false" ht="15" hidden="false" customHeight="false" outlineLevel="0" collapsed="false">
      <c r="A136" s="10" t="s">
        <v>310</v>
      </c>
      <c r="B136" s="10" t="s">
        <v>311</v>
      </c>
      <c r="C136" s="10" t="s">
        <v>43</v>
      </c>
      <c r="D136" s="10" t="n">
        <v>16</v>
      </c>
      <c r="E136" s="11" t="n">
        <v>895</v>
      </c>
      <c r="F136" s="10" t="n">
        <v>0</v>
      </c>
      <c r="G136" s="10" t="s">
        <v>34</v>
      </c>
      <c r="H136" s="10" t="n">
        <v>0</v>
      </c>
      <c r="I136" s="10" t="n">
        <v>0</v>
      </c>
      <c r="J136" s="11" t="n">
        <f aca="false">D136*E136</f>
        <v>14320</v>
      </c>
      <c r="K136" s="12" t="str">
        <f aca="false">IF(D136=0,"AGOTADO",IF(D136&lt;=3,"CRÍTICO",IF(D136&lt;=10,"MEDIO","SANO")))</f>
        <v>SANO</v>
      </c>
    </row>
    <row r="137" customFormat="false" ht="15" hidden="false" customHeight="false" outlineLevel="0" collapsed="false">
      <c r="A137" s="10" t="s">
        <v>312</v>
      </c>
      <c r="B137" s="10" t="s">
        <v>313</v>
      </c>
      <c r="C137" s="10" t="s">
        <v>37</v>
      </c>
      <c r="D137" s="10" t="n">
        <v>17</v>
      </c>
      <c r="E137" s="11" t="n">
        <v>13427</v>
      </c>
      <c r="F137" s="10" t="n">
        <v>0</v>
      </c>
      <c r="G137" s="10" t="s">
        <v>34</v>
      </c>
      <c r="H137" s="10" t="n">
        <v>0</v>
      </c>
      <c r="I137" s="10" t="n">
        <v>0</v>
      </c>
      <c r="J137" s="11" t="n">
        <f aca="false">D137*E137</f>
        <v>228259</v>
      </c>
      <c r="K137" s="12" t="str">
        <f aca="false">IF(D137=0,"AGOTADO",IF(D137&lt;=3,"CRÍTICO",IF(D137&lt;=10,"MEDIO","SANO")))</f>
        <v>SANO</v>
      </c>
    </row>
    <row r="138" customFormat="false" ht="15" hidden="false" customHeight="false" outlineLevel="0" collapsed="false">
      <c r="A138" s="10" t="s">
        <v>314</v>
      </c>
      <c r="B138" s="10" t="s">
        <v>315</v>
      </c>
      <c r="C138" s="10" t="s">
        <v>37</v>
      </c>
      <c r="D138" s="10" t="n">
        <v>17</v>
      </c>
      <c r="E138" s="11" t="n">
        <v>13219</v>
      </c>
      <c r="F138" s="10" t="n">
        <v>0</v>
      </c>
      <c r="G138" s="10" t="s">
        <v>34</v>
      </c>
      <c r="H138" s="10" t="n">
        <v>0</v>
      </c>
      <c r="I138" s="10" t="n">
        <v>0</v>
      </c>
      <c r="J138" s="11" t="n">
        <f aca="false">D138*E138</f>
        <v>224723</v>
      </c>
      <c r="K138" s="12" t="str">
        <f aca="false">IF(D138=0,"AGOTADO",IF(D138&lt;=3,"CRÍTICO",IF(D138&lt;=10,"MEDIO","SANO")))</f>
        <v>SANO</v>
      </c>
    </row>
    <row r="139" customFormat="false" ht="15" hidden="false" customHeight="false" outlineLevel="0" collapsed="false">
      <c r="A139" s="10" t="s">
        <v>316</v>
      </c>
      <c r="B139" s="10" t="s">
        <v>317</v>
      </c>
      <c r="C139" s="10" t="s">
        <v>40</v>
      </c>
      <c r="D139" s="10" t="n">
        <v>20</v>
      </c>
      <c r="E139" s="11" t="n">
        <v>353</v>
      </c>
      <c r="F139" s="10" t="n">
        <v>353</v>
      </c>
      <c r="G139" s="10" t="s">
        <v>318</v>
      </c>
      <c r="H139" s="10" t="n">
        <v>0</v>
      </c>
      <c r="I139" s="10" t="n">
        <v>0</v>
      </c>
      <c r="J139" s="11" t="n">
        <f aca="false">D139*E139</f>
        <v>7060</v>
      </c>
      <c r="K139" s="12" t="str">
        <f aca="false">IF(D139=0,"AGOTADO",IF(D139&lt;=3,"CRÍTICO",IF(D139&lt;=10,"MEDIO","SANO")))</f>
        <v>SANO</v>
      </c>
    </row>
    <row r="140" customFormat="false" ht="15" hidden="false" customHeight="false" outlineLevel="0" collapsed="false">
      <c r="A140" s="10" t="s">
        <v>319</v>
      </c>
      <c r="B140" s="10" t="s">
        <v>320</v>
      </c>
      <c r="C140" s="10" t="s">
        <v>43</v>
      </c>
      <c r="D140" s="10" t="n">
        <v>24</v>
      </c>
      <c r="E140" s="11" t="n">
        <v>1571</v>
      </c>
      <c r="F140" s="10" t="n">
        <v>0</v>
      </c>
      <c r="G140" s="10" t="s">
        <v>34</v>
      </c>
      <c r="H140" s="10" t="n">
        <v>0</v>
      </c>
      <c r="I140" s="10" t="n">
        <v>0</v>
      </c>
      <c r="J140" s="11" t="n">
        <f aca="false">D140*E140</f>
        <v>37704</v>
      </c>
      <c r="K140" s="12" t="str">
        <f aca="false">IF(D140=0,"AGOTADO",IF(D140&lt;=3,"CRÍTICO",IF(D140&lt;=10,"MEDIO","SANO")))</f>
        <v>SANO</v>
      </c>
    </row>
    <row r="141" customFormat="false" ht="15" hidden="false" customHeight="false" outlineLevel="0" collapsed="false">
      <c r="A141" s="10" t="s">
        <v>321</v>
      </c>
      <c r="B141" s="10" t="s">
        <v>322</v>
      </c>
      <c r="C141" s="10" t="s">
        <v>70</v>
      </c>
      <c r="D141" s="10" t="n">
        <v>28</v>
      </c>
      <c r="E141" s="11" t="n">
        <v>1144</v>
      </c>
      <c r="F141" s="10" t="n">
        <v>0</v>
      </c>
      <c r="G141" s="10" t="s">
        <v>34</v>
      </c>
      <c r="H141" s="10" t="n">
        <v>0</v>
      </c>
      <c r="I141" s="10" t="n">
        <v>0</v>
      </c>
      <c r="J141" s="11" t="n">
        <f aca="false">D141*E141</f>
        <v>32032</v>
      </c>
      <c r="K141" s="12" t="str">
        <f aca="false">IF(D141=0,"AGOTADO",IF(D141&lt;=3,"CRÍTICO",IF(D141&lt;=10,"MEDIO","SANO")))</f>
        <v>SANO</v>
      </c>
    </row>
    <row r="142" customFormat="false" ht="15" hidden="false" customHeight="false" outlineLevel="0" collapsed="false">
      <c r="A142" s="10" t="s">
        <v>323</v>
      </c>
      <c r="B142" s="10" t="s">
        <v>324</v>
      </c>
      <c r="C142" s="10" t="s">
        <v>70</v>
      </c>
      <c r="D142" s="10" t="n">
        <v>35</v>
      </c>
      <c r="E142" s="11" t="n">
        <v>500</v>
      </c>
      <c r="F142" s="10" t="n">
        <v>0</v>
      </c>
      <c r="G142" s="10" t="s">
        <v>34</v>
      </c>
      <c r="H142" s="10" t="n">
        <v>0</v>
      </c>
      <c r="I142" s="10" t="n">
        <v>0</v>
      </c>
      <c r="J142" s="11" t="n">
        <f aca="false">D142*E142</f>
        <v>17500</v>
      </c>
      <c r="K142" s="12" t="str">
        <f aca="false">IF(D142=0,"AGOTADO",IF(D142&lt;=3,"CRÍTICO",IF(D142&lt;=10,"MEDIO","SANO")))</f>
        <v>SANO</v>
      </c>
    </row>
    <row r="143" customFormat="false" ht="15" hidden="false" customHeight="false" outlineLevel="0" collapsed="false">
      <c r="A143" s="10" t="s">
        <v>325</v>
      </c>
      <c r="B143" s="10" t="s">
        <v>326</v>
      </c>
      <c r="C143" s="10" t="s">
        <v>327</v>
      </c>
      <c r="D143" s="10" t="n">
        <v>40</v>
      </c>
      <c r="E143" s="11" t="n">
        <v>1</v>
      </c>
      <c r="F143" s="10" t="n">
        <v>0</v>
      </c>
      <c r="G143" s="10" t="s">
        <v>34</v>
      </c>
      <c r="H143" s="10" t="n">
        <v>0</v>
      </c>
      <c r="I143" s="10" t="n">
        <v>0</v>
      </c>
      <c r="J143" s="11" t="n">
        <f aca="false">D143*E143</f>
        <v>40</v>
      </c>
      <c r="K143" s="12" t="str">
        <f aca="false">IF(D143=0,"AGOTADO",IF(D143&lt;=3,"CRÍTICO",IF(D143&lt;=10,"MEDIO","SANO")))</f>
        <v>SANO</v>
      </c>
    </row>
    <row r="144" customFormat="false" ht="15" hidden="false" customHeight="false" outlineLevel="0" collapsed="false">
      <c r="A144" s="10" t="s">
        <v>328</v>
      </c>
      <c r="B144" s="10" t="s">
        <v>329</v>
      </c>
      <c r="C144" s="10" t="s">
        <v>37</v>
      </c>
      <c r="D144" s="10" t="n">
        <v>45</v>
      </c>
      <c r="E144" s="11" t="n">
        <v>1740</v>
      </c>
      <c r="F144" s="10" t="n">
        <v>0</v>
      </c>
      <c r="G144" s="10" t="s">
        <v>34</v>
      </c>
      <c r="H144" s="10" t="n">
        <v>0</v>
      </c>
      <c r="I144" s="10" t="n">
        <v>0</v>
      </c>
      <c r="J144" s="11" t="n">
        <f aca="false">D144*E144</f>
        <v>78300</v>
      </c>
      <c r="K144" s="12" t="str">
        <f aca="false">IF(D144=0,"AGOTADO",IF(D144&lt;=3,"CRÍTICO",IF(D144&lt;=10,"MEDIO","SANO")))</f>
        <v>SANO</v>
      </c>
    </row>
    <row r="145" customFormat="false" ht="15" hidden="false" customHeight="false" outlineLevel="0" collapsed="false">
      <c r="A145" s="10" t="s">
        <v>314</v>
      </c>
      <c r="B145" s="10" t="s">
        <v>330</v>
      </c>
      <c r="C145" s="10" t="s">
        <v>37</v>
      </c>
      <c r="D145" s="10" t="n">
        <v>49</v>
      </c>
      <c r="E145" s="11" t="n">
        <v>5000</v>
      </c>
      <c r="F145" s="10" t="n">
        <v>0</v>
      </c>
      <c r="G145" s="10" t="s">
        <v>34</v>
      </c>
      <c r="H145" s="10" t="n">
        <v>0</v>
      </c>
      <c r="I145" s="10" t="n">
        <v>0</v>
      </c>
      <c r="J145" s="11" t="n">
        <f aca="false">D145*E145</f>
        <v>245000</v>
      </c>
      <c r="K145" s="12" t="str">
        <f aca="false">IF(D145=0,"AGOTADO",IF(D145&lt;=3,"CRÍTICO",IF(D145&lt;=10,"MEDIO","SANO")))</f>
        <v>SANO</v>
      </c>
    </row>
    <row r="146" customFormat="false" ht="15" hidden="false" customHeight="false" outlineLevel="0" collapsed="false">
      <c r="A146" s="10" t="s">
        <v>331</v>
      </c>
      <c r="B146" s="10" t="s">
        <v>332</v>
      </c>
      <c r="C146" s="10" t="s">
        <v>40</v>
      </c>
      <c r="D146" s="10" t="n">
        <v>50</v>
      </c>
      <c r="E146" s="11" t="n">
        <v>3490</v>
      </c>
      <c r="F146" s="10" t="n">
        <v>1000</v>
      </c>
      <c r="G146" s="10" t="s">
        <v>34</v>
      </c>
      <c r="H146" s="10" t="n">
        <v>0</v>
      </c>
      <c r="I146" s="10" t="n">
        <v>0</v>
      </c>
      <c r="J146" s="11" t="n">
        <f aca="false">D146*E146</f>
        <v>174500</v>
      </c>
      <c r="K146" s="12" t="str">
        <f aca="false">IF(D146=0,"AGOTADO",IF(D146&lt;=3,"CRÍTICO",IF(D146&lt;=10,"MEDIO","SANO")))</f>
        <v>SANO</v>
      </c>
    </row>
    <row r="147" customFormat="false" ht="15" hidden="false" customHeight="false" outlineLevel="0" collapsed="false">
      <c r="A147" s="10" t="s">
        <v>333</v>
      </c>
      <c r="B147" s="10" t="s">
        <v>334</v>
      </c>
      <c r="C147" s="10" t="s">
        <v>40</v>
      </c>
      <c r="D147" s="10" t="n">
        <v>60</v>
      </c>
      <c r="E147" s="11" t="n">
        <v>2000</v>
      </c>
      <c r="F147" s="10" t="n">
        <v>0</v>
      </c>
      <c r="G147" s="10" t="s">
        <v>34</v>
      </c>
      <c r="H147" s="10" t="n">
        <v>0</v>
      </c>
      <c r="I147" s="10" t="n">
        <v>0</v>
      </c>
      <c r="J147" s="11" t="n">
        <f aca="false">D147*E147</f>
        <v>120000</v>
      </c>
      <c r="K147" s="12" t="str">
        <f aca="false">IF(D147=0,"AGOTADO",IF(D147&lt;=3,"CRÍTICO",IF(D147&lt;=10,"MEDIO","SANO")))</f>
        <v>SANO</v>
      </c>
    </row>
    <row r="148" customFormat="false" ht="15" hidden="false" customHeight="false" outlineLevel="0" collapsed="false">
      <c r="A148" s="10" t="s">
        <v>335</v>
      </c>
      <c r="B148" s="10" t="s">
        <v>336</v>
      </c>
      <c r="C148" s="10" t="s">
        <v>40</v>
      </c>
      <c r="D148" s="10" t="n">
        <v>76</v>
      </c>
      <c r="E148" s="11" t="n">
        <v>4000</v>
      </c>
      <c r="F148" s="10" t="n">
        <v>0</v>
      </c>
      <c r="G148" s="10" t="s">
        <v>34</v>
      </c>
      <c r="H148" s="10" t="n">
        <v>0</v>
      </c>
      <c r="I148" s="10" t="n">
        <v>0</v>
      </c>
      <c r="J148" s="11" t="n">
        <f aca="false">D148*E148</f>
        <v>304000</v>
      </c>
      <c r="K148" s="12" t="str">
        <f aca="false">IF(D148=0,"AGOTADO",IF(D148&lt;=3,"CRÍTICO",IF(D148&lt;=10,"MEDIO","SANO")))</f>
        <v>SANO</v>
      </c>
    </row>
    <row r="149" customFormat="false" ht="15" hidden="false" customHeight="false" outlineLevel="0" collapsed="false">
      <c r="A149" s="10" t="s">
        <v>337</v>
      </c>
      <c r="B149" s="10" t="s">
        <v>338</v>
      </c>
      <c r="C149" s="10" t="s">
        <v>40</v>
      </c>
      <c r="D149" s="10" t="n">
        <v>86</v>
      </c>
      <c r="E149" s="11" t="n">
        <v>3490</v>
      </c>
      <c r="F149" s="10" t="n">
        <v>0</v>
      </c>
      <c r="G149" s="10" t="s">
        <v>34</v>
      </c>
      <c r="H149" s="10" t="n">
        <v>0</v>
      </c>
      <c r="I149" s="10" t="n">
        <v>0</v>
      </c>
      <c r="J149" s="11" t="n">
        <f aca="false">D149*E149</f>
        <v>300140</v>
      </c>
      <c r="K149" s="12" t="str">
        <f aca="false">IF(D149=0,"AGOTADO",IF(D149&lt;=3,"CRÍTICO",IF(D149&lt;=10,"MEDIO","SANO")))</f>
        <v>SANO</v>
      </c>
    </row>
    <row r="150" customFormat="false" ht="15" hidden="false" customHeight="false" outlineLevel="0" collapsed="false">
      <c r="A150" s="10" t="s">
        <v>339</v>
      </c>
      <c r="B150" s="10" t="s">
        <v>340</v>
      </c>
      <c r="C150" s="10" t="s">
        <v>70</v>
      </c>
      <c r="D150" s="10" t="n">
        <v>261</v>
      </c>
      <c r="E150" s="11" t="n">
        <v>1160</v>
      </c>
      <c r="F150" s="10" t="n">
        <v>0</v>
      </c>
      <c r="G150" s="10" t="s">
        <v>34</v>
      </c>
      <c r="H150" s="10" t="n">
        <v>0</v>
      </c>
      <c r="I150" s="10" t="n">
        <v>0</v>
      </c>
      <c r="J150" s="11" t="n">
        <f aca="false">D150*E150</f>
        <v>302760</v>
      </c>
      <c r="K150" s="12" t="str">
        <f aca="false">IF(D150=0,"AGOTADO",IF(D150&lt;=3,"CRÍTICO",IF(D150&lt;=10,"MEDIO","SANO")))</f>
        <v>SANO</v>
      </c>
    </row>
    <row r="151" customFormat="false" ht="15" hidden="false" customHeight="false" outlineLevel="0" collapsed="false">
      <c r="A151" s="10" t="s">
        <v>341</v>
      </c>
      <c r="B151" s="10" t="s">
        <v>342</v>
      </c>
      <c r="C151" s="10" t="s">
        <v>33</v>
      </c>
      <c r="D151" s="10" t="n">
        <v>270</v>
      </c>
      <c r="E151" s="11" t="n">
        <v>7767</v>
      </c>
      <c r="F151" s="10" t="n">
        <v>0</v>
      </c>
      <c r="G151" s="10" t="s">
        <v>34</v>
      </c>
      <c r="H151" s="10" t="n">
        <v>0</v>
      </c>
      <c r="I151" s="10" t="n">
        <v>0</v>
      </c>
      <c r="J151" s="11" t="n">
        <f aca="false">D151*E151</f>
        <v>2097090</v>
      </c>
      <c r="K151" s="12" t="str">
        <f aca="false">IF(D151=0,"AGOTADO",IF(D151&lt;=3,"CRÍTICO",IF(D151&lt;=10,"MEDIO","SANO")))</f>
        <v>SANO</v>
      </c>
    </row>
    <row r="152" customFormat="false" ht="15" hidden="false" customHeight="false" outlineLevel="0" collapsed="false">
      <c r="A152" s="10" t="s">
        <v>343</v>
      </c>
      <c r="B152" s="10" t="s">
        <v>344</v>
      </c>
      <c r="C152" s="10" t="s">
        <v>40</v>
      </c>
      <c r="D152" s="10" t="n">
        <v>315</v>
      </c>
      <c r="E152" s="11" t="n">
        <v>2000</v>
      </c>
      <c r="F152" s="10" t="n">
        <v>0</v>
      </c>
      <c r="G152" s="10" t="s">
        <v>34</v>
      </c>
      <c r="H152" s="10" t="n">
        <v>0</v>
      </c>
      <c r="I152" s="10" t="n">
        <v>0</v>
      </c>
      <c r="J152" s="11" t="n">
        <f aca="false">D152*E152</f>
        <v>630000</v>
      </c>
      <c r="K152" s="12" t="str">
        <f aca="false">IF(D152=0,"AGOTADO",IF(D152&lt;=3,"CRÍTICO",IF(D152&lt;=10,"MEDIO","SANO")))</f>
        <v>SANO</v>
      </c>
    </row>
  </sheetData>
  <autoFilter ref="A1:K152"/>
  <conditionalFormatting sqref="K2:K152">
    <cfRule type="cellIs" priority="2" operator="equal" aboveAverage="0" equalAverage="0" bottom="0" percent="0" rank="0" text="" dxfId="6">
      <formula>"AGOTADO"</formula>
    </cfRule>
    <cfRule type="cellIs" priority="3" operator="equal" aboveAverage="0" equalAverage="0" bottom="0" percent="0" rank="0" text="" dxfId="7">
      <formula>"CRÍTICO"</formula>
    </cfRule>
    <cfRule type="cellIs" priority="4" operator="equal" aboveAverage="0" equalAverage="0" bottom="0" percent="0" rank="0" text="" dxfId="8">
      <formula>"MEDIO"</formula>
    </cfRule>
    <cfRule type="cellIs" priority="5" operator="equal" aboveAverage="0" equalAverage="0" bottom="0" percent="0" rank="0" text="" dxfId="9">
      <formula>"SANO"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345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9" t="s">
        <v>22</v>
      </c>
      <c r="B3" s="9" t="s">
        <v>346</v>
      </c>
      <c r="C3" s="9" t="s">
        <v>347</v>
      </c>
      <c r="D3" s="9" t="s">
        <v>29</v>
      </c>
      <c r="E3" s="9" t="s">
        <v>348</v>
      </c>
      <c r="F3" s="9" t="s">
        <v>349</v>
      </c>
    </row>
    <row r="4" customFormat="false" ht="15" hidden="false" customHeight="false" outlineLevel="0" collapsed="false">
      <c r="A4" s="13" t="s">
        <v>33</v>
      </c>
      <c r="B4" s="13" t="n">
        <v>29</v>
      </c>
      <c r="C4" s="13" t="n">
        <v>421</v>
      </c>
      <c r="D4" s="14" t="n">
        <v>3725277</v>
      </c>
      <c r="E4" s="14" t="n">
        <f aca="false">IF(C4=0,0,D4/C4)</f>
        <v>8848.63895486936</v>
      </c>
      <c r="F4" s="15" t="n">
        <f aca="false">D4/SUM(D$4:D$11)</f>
        <v>0.37898947047154</v>
      </c>
    </row>
    <row r="5" customFormat="false" ht="15" hidden="false" customHeight="false" outlineLevel="0" collapsed="false">
      <c r="A5" s="13" t="s">
        <v>43</v>
      </c>
      <c r="B5" s="13" t="n">
        <v>65</v>
      </c>
      <c r="C5" s="13" t="n">
        <v>244</v>
      </c>
      <c r="D5" s="14" t="n">
        <v>2088416</v>
      </c>
      <c r="E5" s="14" t="n">
        <f aca="false">IF(C5=0,0,D5/C5)</f>
        <v>8559.08196721312</v>
      </c>
      <c r="F5" s="15" t="n">
        <f aca="false">D5/SUM(D$4:D$11)</f>
        <v>0.212464113128847</v>
      </c>
    </row>
    <row r="6" customFormat="false" ht="15" hidden="false" customHeight="false" outlineLevel="0" collapsed="false">
      <c r="A6" s="13" t="s">
        <v>40</v>
      </c>
      <c r="B6" s="13" t="n">
        <v>16</v>
      </c>
      <c r="C6" s="13" t="n">
        <v>638</v>
      </c>
      <c r="D6" s="14" t="n">
        <v>1884992</v>
      </c>
      <c r="E6" s="14" t="n">
        <f aca="false">IF(C6=0,0,D6/C6)</f>
        <v>2954.5329153605</v>
      </c>
      <c r="F6" s="15" t="n">
        <f aca="false">D6/SUM(D$4:D$11)</f>
        <v>0.191768859046747</v>
      </c>
    </row>
    <row r="7" customFormat="false" ht="15" hidden="false" customHeight="false" outlineLevel="0" collapsed="false">
      <c r="A7" s="13" t="s">
        <v>37</v>
      </c>
      <c r="B7" s="13" t="n">
        <v>20</v>
      </c>
      <c r="C7" s="13" t="n">
        <v>182</v>
      </c>
      <c r="D7" s="14" t="n">
        <v>1204618</v>
      </c>
      <c r="E7" s="14" t="n">
        <f aca="false">IF(C7=0,0,D7/C7)</f>
        <v>6618.78021978022</v>
      </c>
      <c r="F7" s="15" t="n">
        <f aca="false">D7/SUM(D$4:D$11)</f>
        <v>0.122551299659189</v>
      </c>
    </row>
    <row r="8" customFormat="false" ht="15" hidden="false" customHeight="false" outlineLevel="0" collapsed="false">
      <c r="A8" s="13" t="s">
        <v>91</v>
      </c>
      <c r="B8" s="13" t="n">
        <v>4</v>
      </c>
      <c r="C8" s="13" t="n">
        <v>17</v>
      </c>
      <c r="D8" s="14" t="n">
        <v>485000</v>
      </c>
      <c r="E8" s="14" t="n">
        <f aca="false">IF(C8=0,0,D8/C8)</f>
        <v>28529.4117647059</v>
      </c>
      <c r="F8" s="15" t="n">
        <f aca="false">D8/SUM(D$4:D$11)</f>
        <v>0.049341268630144</v>
      </c>
    </row>
    <row r="9" customFormat="false" ht="15" hidden="false" customHeight="false" outlineLevel="0" collapsed="false">
      <c r="A9" s="13" t="s">
        <v>70</v>
      </c>
      <c r="B9" s="13" t="n">
        <v>15</v>
      </c>
      <c r="C9" s="13" t="n">
        <v>364</v>
      </c>
      <c r="D9" s="14" t="n">
        <v>433073</v>
      </c>
      <c r="E9" s="14" t="n">
        <f aca="false">IF(C9=0,0,D9/C9)</f>
        <v>1189.76098901099</v>
      </c>
      <c r="F9" s="15" t="n">
        <f aca="false">D9/SUM(D$4:D$11)</f>
        <v>0.0440584973803347</v>
      </c>
    </row>
    <row r="10" customFormat="false" ht="15" hidden="false" customHeight="false" outlineLevel="0" collapsed="false">
      <c r="A10" s="13" t="s">
        <v>224</v>
      </c>
      <c r="B10" s="13" t="n">
        <v>1</v>
      </c>
      <c r="C10" s="13" t="n">
        <v>4</v>
      </c>
      <c r="D10" s="14" t="n">
        <v>8084</v>
      </c>
      <c r="E10" s="14" t="n">
        <f aca="false">IF(C10=0,0,D10/C10)</f>
        <v>2021</v>
      </c>
      <c r="F10" s="15" t="n">
        <f aca="false">D10/SUM(D$4:D$11)</f>
        <v>0.000822422300218729</v>
      </c>
    </row>
    <row r="11" customFormat="false" ht="15" hidden="false" customHeight="false" outlineLevel="0" collapsed="false">
      <c r="A11" s="13" t="s">
        <v>327</v>
      </c>
      <c r="B11" s="13" t="n">
        <v>1</v>
      </c>
      <c r="C11" s="13" t="n">
        <v>40</v>
      </c>
      <c r="D11" s="14" t="n">
        <v>40</v>
      </c>
      <c r="E11" s="14" t="n">
        <f aca="false">IF(C11=0,0,D11/C11)</f>
        <v>1</v>
      </c>
      <c r="F11" s="15" t="n">
        <f aca="false">D11/SUM(D$4:D$11)</f>
        <v>4.06938297980569E-006</v>
      </c>
    </row>
    <row r="12" customFormat="false" ht="15" hidden="false" customHeight="false" outlineLevel="0" collapsed="false">
      <c r="A12" s="16" t="s">
        <v>350</v>
      </c>
      <c r="B12" s="16" t="n">
        <f aca="false">SUM(B4:B11)</f>
        <v>151</v>
      </c>
      <c r="C12" s="16" t="n">
        <f aca="false">SUM(C4:C11)</f>
        <v>1910</v>
      </c>
      <c r="D12" s="17" t="n">
        <f aca="false">SUM(D4:D11)</f>
        <v>9829500</v>
      </c>
      <c r="F12" s="18" t="n">
        <f aca="false">SUM(F4:F11)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351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352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9" t="s">
        <v>353</v>
      </c>
      <c r="B4" s="19" t="s">
        <v>20</v>
      </c>
      <c r="C4" s="19" t="s">
        <v>21</v>
      </c>
      <c r="D4" s="19" t="s">
        <v>23</v>
      </c>
      <c r="E4" s="19" t="s">
        <v>354</v>
      </c>
      <c r="F4" s="19" t="s">
        <v>355</v>
      </c>
    </row>
    <row r="5" customFormat="false" ht="15" hidden="false" customHeight="false" outlineLevel="0" collapsed="false">
      <c r="A5" s="20" t="n">
        <v>1</v>
      </c>
      <c r="B5" s="13" t="s">
        <v>341</v>
      </c>
      <c r="C5" s="13" t="s">
        <v>342</v>
      </c>
      <c r="D5" s="13" t="n">
        <v>270</v>
      </c>
      <c r="E5" s="14" t="n">
        <v>7767</v>
      </c>
      <c r="F5" s="21" t="n">
        <f aca="false">D5*E5</f>
        <v>2097090</v>
      </c>
    </row>
    <row r="6" customFormat="false" ht="15" hidden="false" customHeight="false" outlineLevel="0" collapsed="false">
      <c r="A6" s="20" t="n">
        <v>2</v>
      </c>
      <c r="B6" s="13" t="s">
        <v>343</v>
      </c>
      <c r="C6" s="13" t="s">
        <v>344</v>
      </c>
      <c r="D6" s="13" t="n">
        <v>315</v>
      </c>
      <c r="E6" s="14" t="n">
        <v>2000</v>
      </c>
      <c r="F6" s="21" t="n">
        <f aca="false">D6*E6</f>
        <v>630000</v>
      </c>
    </row>
    <row r="7" customFormat="false" ht="15" hidden="false" customHeight="false" outlineLevel="0" collapsed="false">
      <c r="A7" s="20" t="n">
        <v>3</v>
      </c>
      <c r="B7" s="13" t="s">
        <v>335</v>
      </c>
      <c r="C7" s="13" t="s">
        <v>336</v>
      </c>
      <c r="D7" s="13" t="n">
        <v>76</v>
      </c>
      <c r="E7" s="14" t="n">
        <v>4000</v>
      </c>
      <c r="F7" s="21" t="n">
        <f aca="false">D7*E7</f>
        <v>304000</v>
      </c>
    </row>
    <row r="8" customFormat="false" ht="15" hidden="false" customHeight="false" outlineLevel="0" collapsed="false">
      <c r="A8" s="20" t="n">
        <v>4</v>
      </c>
      <c r="B8" s="13" t="s">
        <v>339</v>
      </c>
      <c r="C8" s="13" t="s">
        <v>340</v>
      </c>
      <c r="D8" s="13" t="n">
        <v>261</v>
      </c>
      <c r="E8" s="14" t="n">
        <v>1160</v>
      </c>
      <c r="F8" s="21" t="n">
        <f aca="false">D8*E8</f>
        <v>302760</v>
      </c>
    </row>
    <row r="9" customFormat="false" ht="15" hidden="false" customHeight="false" outlineLevel="0" collapsed="false">
      <c r="A9" s="20" t="n">
        <v>5</v>
      </c>
      <c r="B9" s="13" t="s">
        <v>337</v>
      </c>
      <c r="C9" s="13" t="s">
        <v>338</v>
      </c>
      <c r="D9" s="13" t="n">
        <v>86</v>
      </c>
      <c r="E9" s="14" t="n">
        <v>3490</v>
      </c>
      <c r="F9" s="21" t="n">
        <f aca="false">D9*E9</f>
        <v>300140</v>
      </c>
    </row>
    <row r="10" customFormat="false" ht="15" hidden="false" customHeight="false" outlineLevel="0" collapsed="false">
      <c r="A10" s="20" t="n">
        <v>6</v>
      </c>
      <c r="B10" s="13" t="s">
        <v>193</v>
      </c>
      <c r="C10" s="13" t="s">
        <v>194</v>
      </c>
      <c r="D10" s="13" t="n">
        <v>4</v>
      </c>
      <c r="E10" s="14" t="n">
        <v>69990</v>
      </c>
      <c r="F10" s="21" t="n">
        <f aca="false">D10*E10</f>
        <v>279960</v>
      </c>
    </row>
    <row r="11" customFormat="false" ht="15" hidden="false" customHeight="false" outlineLevel="0" collapsed="false">
      <c r="A11" s="20" t="n">
        <v>7</v>
      </c>
      <c r="B11" s="13" t="s">
        <v>314</v>
      </c>
      <c r="C11" s="13" t="s">
        <v>330</v>
      </c>
      <c r="D11" s="13" t="n">
        <v>49</v>
      </c>
      <c r="E11" s="14" t="n">
        <v>5000</v>
      </c>
      <c r="F11" s="21" t="n">
        <f aca="false">D11*E11</f>
        <v>245000</v>
      </c>
    </row>
    <row r="12" customFormat="false" ht="15" hidden="false" customHeight="false" outlineLevel="0" collapsed="false">
      <c r="A12" s="20" t="n">
        <v>8</v>
      </c>
      <c r="B12" s="13" t="s">
        <v>274</v>
      </c>
      <c r="C12" s="13" t="s">
        <v>275</v>
      </c>
      <c r="D12" s="13" t="n">
        <v>7</v>
      </c>
      <c r="E12" s="14" t="n">
        <v>35000</v>
      </c>
      <c r="F12" s="21" t="n">
        <f aca="false">D12*E12</f>
        <v>245000</v>
      </c>
    </row>
    <row r="13" customFormat="false" ht="15" hidden="false" customHeight="false" outlineLevel="0" collapsed="false">
      <c r="A13" s="20" t="n">
        <v>9</v>
      </c>
      <c r="B13" s="13" t="s">
        <v>150</v>
      </c>
      <c r="C13" s="13" t="s">
        <v>151</v>
      </c>
      <c r="D13" s="13" t="n">
        <v>3</v>
      </c>
      <c r="E13" s="14" t="n">
        <v>80000</v>
      </c>
      <c r="F13" s="21" t="n">
        <f aca="false">D13*E13</f>
        <v>240000</v>
      </c>
    </row>
    <row r="14" customFormat="false" ht="15" hidden="false" customHeight="false" outlineLevel="0" collapsed="false">
      <c r="A14" s="20" t="n">
        <v>10</v>
      </c>
      <c r="B14" s="13" t="s">
        <v>312</v>
      </c>
      <c r="C14" s="13" t="s">
        <v>313</v>
      </c>
      <c r="D14" s="13" t="n">
        <v>17</v>
      </c>
      <c r="E14" s="14" t="n">
        <v>13427</v>
      </c>
      <c r="F14" s="21" t="n">
        <f aca="false">D14*E14</f>
        <v>228259</v>
      </c>
    </row>
    <row r="15" customFormat="false" ht="15" hidden="false" customHeight="false" outlineLevel="0" collapsed="false">
      <c r="A15" s="20" t="n">
        <v>11</v>
      </c>
      <c r="B15" s="13" t="s">
        <v>314</v>
      </c>
      <c r="C15" s="13" t="s">
        <v>315</v>
      </c>
      <c r="D15" s="13" t="n">
        <v>17</v>
      </c>
      <c r="E15" s="14" t="n">
        <v>13219</v>
      </c>
      <c r="F15" s="21" t="n">
        <f aca="false">D15*E15</f>
        <v>224723</v>
      </c>
    </row>
    <row r="16" customFormat="false" ht="15" hidden="false" customHeight="false" outlineLevel="0" collapsed="false">
      <c r="A16" s="20" t="n">
        <v>12</v>
      </c>
      <c r="B16" s="13" t="s">
        <v>87</v>
      </c>
      <c r="C16" s="13" t="s">
        <v>88</v>
      </c>
      <c r="D16" s="13" t="n">
        <v>2</v>
      </c>
      <c r="E16" s="14" t="n">
        <v>93036</v>
      </c>
      <c r="F16" s="21" t="n">
        <f aca="false">D16*E16</f>
        <v>186072</v>
      </c>
    </row>
    <row r="17" customFormat="false" ht="15" hidden="false" customHeight="false" outlineLevel="0" collapsed="false">
      <c r="A17" s="20" t="n">
        <v>13</v>
      </c>
      <c r="B17" s="13" t="s">
        <v>331</v>
      </c>
      <c r="C17" s="13" t="s">
        <v>332</v>
      </c>
      <c r="D17" s="13" t="n">
        <v>50</v>
      </c>
      <c r="E17" s="14" t="n">
        <v>3490</v>
      </c>
      <c r="F17" s="21" t="n">
        <f aca="false">D17*E17</f>
        <v>174500</v>
      </c>
    </row>
    <row r="18" customFormat="false" ht="15" hidden="false" customHeight="false" outlineLevel="0" collapsed="false">
      <c r="A18" s="20" t="n">
        <v>14</v>
      </c>
      <c r="B18" s="13" t="s">
        <v>195</v>
      </c>
      <c r="C18" s="13" t="s">
        <v>196</v>
      </c>
      <c r="D18" s="13" t="n">
        <v>4</v>
      </c>
      <c r="E18" s="14" t="n">
        <v>38984</v>
      </c>
      <c r="F18" s="21" t="n">
        <f aca="false">D18*E18</f>
        <v>155936</v>
      </c>
    </row>
    <row r="19" customFormat="false" ht="15" hidden="false" customHeight="false" outlineLevel="0" collapsed="false">
      <c r="A19" s="20" t="n">
        <v>15</v>
      </c>
      <c r="B19" s="13" t="s">
        <v>306</v>
      </c>
      <c r="C19" s="13" t="s">
        <v>307</v>
      </c>
      <c r="D19" s="13" t="n">
        <v>15</v>
      </c>
      <c r="E19" s="14" t="n">
        <v>9125</v>
      </c>
      <c r="F19" s="21" t="n">
        <f aca="false">D19*E19</f>
        <v>136875</v>
      </c>
    </row>
    <row r="20" customFormat="false" ht="15" hidden="false" customHeight="false" outlineLevel="0" collapsed="false">
      <c r="A20" s="20" t="n">
        <v>16</v>
      </c>
      <c r="B20" s="13" t="s">
        <v>152</v>
      </c>
      <c r="C20" s="13" t="s">
        <v>153</v>
      </c>
      <c r="D20" s="13" t="n">
        <v>3</v>
      </c>
      <c r="E20" s="14" t="n">
        <v>44554</v>
      </c>
      <c r="F20" s="21" t="n">
        <f aca="false">D20*E20</f>
        <v>133662</v>
      </c>
    </row>
    <row r="21" customFormat="false" ht="15" hidden="false" customHeight="false" outlineLevel="0" collapsed="false">
      <c r="A21" s="20" t="n">
        <v>17</v>
      </c>
      <c r="B21" s="13" t="s">
        <v>229</v>
      </c>
      <c r="C21" s="13" t="s">
        <v>230</v>
      </c>
      <c r="D21" s="13" t="n">
        <v>5</v>
      </c>
      <c r="E21" s="14" t="n">
        <v>25000</v>
      </c>
      <c r="F21" s="21" t="n">
        <f aca="false">D21*E21</f>
        <v>125000</v>
      </c>
    </row>
    <row r="22" customFormat="false" ht="15" hidden="false" customHeight="false" outlineLevel="0" collapsed="false">
      <c r="A22" s="20" t="n">
        <v>18</v>
      </c>
      <c r="B22" s="13" t="s">
        <v>333</v>
      </c>
      <c r="C22" s="13" t="s">
        <v>334</v>
      </c>
      <c r="D22" s="13" t="n">
        <v>60</v>
      </c>
      <c r="E22" s="14" t="n">
        <v>2000</v>
      </c>
      <c r="F22" s="21" t="n">
        <f aca="false">D22*E22</f>
        <v>120000</v>
      </c>
    </row>
    <row r="23" customFormat="false" ht="15" hidden="false" customHeight="false" outlineLevel="0" collapsed="false">
      <c r="A23" s="20" t="n">
        <v>19</v>
      </c>
      <c r="B23" s="13" t="s">
        <v>276</v>
      </c>
      <c r="C23" s="13" t="s">
        <v>277</v>
      </c>
      <c r="D23" s="13" t="n">
        <v>7</v>
      </c>
      <c r="E23" s="14" t="n">
        <v>16934</v>
      </c>
      <c r="F23" s="21" t="n">
        <f aca="false">D23*E23</f>
        <v>118538</v>
      </c>
    </row>
    <row r="24" customFormat="false" ht="15" hidden="false" customHeight="false" outlineLevel="0" collapsed="false">
      <c r="A24" s="20" t="n">
        <v>20</v>
      </c>
      <c r="B24" s="13" t="s">
        <v>231</v>
      </c>
      <c r="C24" s="13" t="s">
        <v>232</v>
      </c>
      <c r="D24" s="13" t="n">
        <v>5</v>
      </c>
      <c r="E24" s="14" t="n">
        <v>23601</v>
      </c>
      <c r="F24" s="21" t="n">
        <f aca="false">D24*E24</f>
        <v>118005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2026-05-26T20:39:15Z</dcterms:created>
  <dc:creator>openpyxl</dc:creator>
  <dc:description/>
  <dc:language>en-US</dc:language>
  <cp:lastModifiedBy/>
  <dcterms:modified xsi:type="dcterms:W3CDTF">2026-05-26T20:39:15Z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