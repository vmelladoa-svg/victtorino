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C5E1A5"/>
      </patternFill>
    </fill>
    <fill>
      <patternFill patternType="solid">
        <fgColor rgb="00FFF59D"/>
      </patternFill>
    </fill>
    <fill>
      <patternFill patternType="solid">
        <fgColor rgb="00FFE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</cols>
  <sheetData>
    <row r="1">
      <c r="A1">
        <f>=== PLAN DE ACCION ====</f>
        <v/>
      </c>
    </row>
    <row r="2">
      <c r="A2" t="inlineStr">
        <is>
          <t>Generado: 2026-05-26 23:43</t>
        </is>
      </c>
    </row>
    <row r="4">
      <c r="A4" t="inlineStr">
        <is>
          <t>accion</t>
        </is>
      </c>
      <c r="B4" t="inlineStr">
        <is>
          <t>n_items</t>
        </is>
      </c>
      <c r="C4" t="inlineStr">
        <is>
          <t>impacto</t>
        </is>
      </c>
    </row>
    <row r="5">
      <c r="A5" t="inlineStr">
        <is>
          <t>PAUSAR (riesgo nulo)</t>
        </is>
      </c>
      <c r="B5" t="n">
        <v>28</v>
      </c>
      <c r="C5" t="inlineStr">
        <is>
          <t>Detiene exposicion contra ti mismo</t>
        </is>
      </c>
    </row>
    <row r="6">
      <c r="A6" t="inlineStr">
        <is>
          <t>BAJAR_PRECIO</t>
        </is>
      </c>
      <c r="B6" t="n">
        <v>30</v>
      </c>
      <c r="C6" t="inlineStr">
        <is>
          <t>Recupera buy box manteniendo margen</t>
        </is>
      </c>
    </row>
    <row r="8">
      <c r="A8">
        <f>=== Si vendes 1 unidad de cada BAJAR_PRECIO ====</f>
        <v/>
      </c>
    </row>
    <row r="9">
      <c r="A9" t="inlineStr">
        <is>
          <t>Margen total ACTUAL (no ganas buy box)</t>
        </is>
      </c>
      <c r="B9" t="inlineStr">
        <is>
          <t>$134.647</t>
        </is>
      </c>
    </row>
    <row r="10">
      <c r="A10" t="inlineStr">
        <is>
          <t>Margen total con precio nuevo (asumes buy box)</t>
        </is>
      </c>
      <c r="B10" t="inlineStr">
        <is>
          <t>$36.660</t>
        </is>
      </c>
    </row>
    <row r="11">
      <c r="A11" t="inlineStr">
        <is>
          <t>Delta (ganas margen aunque sea menor) si recuperas ventas</t>
        </is>
      </c>
      <c r="B11" t="inlineStr">
        <is>
          <t>$-97.987</t>
        </is>
      </c>
    </row>
    <row r="13">
      <c r="A13">
        <f>=== INSTRUCCIONES ====</f>
        <v/>
      </c>
    </row>
    <row r="14">
      <c r="A14" t="inlineStr">
        <is>
          <t>1. Revisa la hoja ACCIONES y marca 'aprobado' (SI/NO) en cada fila</t>
        </is>
      </c>
    </row>
    <row r="15">
      <c r="A15" t="inlineStr">
        <is>
          <t>2. Para BAJAR_PRECIO: si el margen proyectado no te convence, marca NO o ajusta el precio_sugerido</t>
        </is>
      </c>
    </row>
    <row r="16">
      <c r="A16" t="inlineStr">
        <is>
          <t>3. Avisa cuando este lista y corro el script de ejecucion via API</t>
        </is>
      </c>
    </row>
    <row r="17">
      <c r="A17" t="inlineStr">
        <is>
          <t>4. El script ejecutara solo las filas con aprobado=SI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7" customWidth="1" min="4" max="4"/>
    <col width="15" customWidth="1" min="5" max="5"/>
    <col width="50" customWidth="1" min="6" max="6"/>
    <col width="13" customWidth="1" min="7" max="7"/>
    <col width="7" customWidth="1" min="8" max="8"/>
    <col width="12" customWidth="1" min="9" max="9"/>
    <col width="10" customWidth="1" min="10" max="10"/>
    <col width="13" customWidth="1" min="11" max="11"/>
    <col width="13" customWidth="1" min="12" max="12"/>
    <col width="13" customWidth="1" min="13" max="13"/>
    <col width="15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65" customWidth="1" min="20" max="20"/>
    <col width="15" customWidth="1" min="21" max="21"/>
    <col width="45" customWidth="1" min="22" max="22"/>
  </cols>
  <sheetData>
    <row r="1" ht="30" customHeight="1">
      <c r="A1" s="1" t="inlineStr">
        <is>
          <t>aprobado</t>
        </is>
      </c>
      <c r="B1" s="1" t="inlineStr">
        <is>
          <t>accion</t>
        </is>
      </c>
      <c r="C1" s="1" t="inlineStr">
        <is>
          <t>prioridad</t>
        </is>
      </c>
      <c r="D1" s="1" t="inlineStr">
        <is>
          <t>cuenta</t>
        </is>
      </c>
      <c r="E1" s="1" t="inlineStr">
        <is>
          <t>item_id</t>
        </is>
      </c>
      <c r="F1" s="1" t="inlineStr">
        <is>
          <t>title</t>
        </is>
      </c>
      <c r="G1" s="1" t="inlineStr">
        <is>
          <t>listing_type_id</t>
        </is>
      </c>
      <c r="H1" s="1" t="inlineStr">
        <is>
          <t>stock_actual</t>
        </is>
      </c>
      <c r="I1" s="1" t="inlineStr">
        <is>
          <t>precio_actual</t>
        </is>
      </c>
      <c r="J1" s="1" t="inlineStr">
        <is>
          <t>costo</t>
        </is>
      </c>
      <c r="K1" s="1" t="inlineStr">
        <is>
          <t>margen_actual_clp</t>
        </is>
      </c>
      <c r="L1" s="1" t="inlineStr">
        <is>
          <t>margen_actual_pct</t>
        </is>
      </c>
      <c r="M1" s="1" t="inlineStr">
        <is>
          <t>precio_sugerido</t>
        </is>
      </c>
      <c r="N1" s="1" t="inlineStr">
        <is>
          <t>margen_proyectado_clp</t>
        </is>
      </c>
      <c r="O1" s="1" t="inlineStr">
        <is>
          <t>margen_proyectado_pct</t>
        </is>
      </c>
      <c r="P1" s="1" t="inlineStr">
        <is>
          <t>delta_margen_pct</t>
        </is>
      </c>
      <c r="Q1" s="1" t="inlineStr">
        <is>
          <t>ganador_actual</t>
        </is>
      </c>
      <c r="R1" s="1" t="inlineStr">
        <is>
          <t>ganador_precio</t>
        </is>
      </c>
      <c r="S1" s="1" t="inlineStr">
        <is>
          <t>diff_pct_vs_ganador</t>
        </is>
      </c>
      <c r="T1" s="1" t="inlineStr">
        <is>
          <t>razon</t>
        </is>
      </c>
      <c r="U1" s="1" t="inlineStr">
        <is>
          <t>catalog_product_id</t>
        </is>
      </c>
      <c r="V1" s="1" t="inlineStr">
        <is>
          <t>permalink</t>
        </is>
      </c>
    </row>
    <row r="2">
      <c r="A2" s="2" t="inlineStr">
        <is>
          <t>SI</t>
        </is>
      </c>
      <c r="B2" s="3" t="inlineStr">
        <is>
          <t>PAUSAR</t>
        </is>
      </c>
      <c r="C2" t="n">
        <v>1</v>
      </c>
      <c r="D2" t="inlineStr">
        <is>
          <t>C2</t>
        </is>
      </c>
      <c r="E2" t="inlineStr">
        <is>
          <t>MLC2649268824</t>
        </is>
      </c>
      <c r="F2" t="inlineStr">
        <is>
          <t>Mampara Ducha De 120 A 140 Cms Ancho X 190 Cms Vidrio Templ Transparente Plateado</t>
        </is>
      </c>
      <c r="G2" t="inlineStr">
        <is>
          <t>gold_special</t>
        </is>
      </c>
      <c r="H2" t="n">
        <v>2</v>
      </c>
      <c r="I2" t="n">
        <v>301943</v>
      </c>
      <c r="J2" t="n">
        <v>93036</v>
      </c>
      <c r="K2" t="n">
        <v>79503</v>
      </c>
      <c r="L2" t="n">
        <v>31.3</v>
      </c>
      <c r="Q2" t="inlineStr">
        <is>
          <t>NUESTRO: C3</t>
        </is>
      </c>
      <c r="R2" t="n">
        <v>231690</v>
      </c>
      <c r="S2" t="n">
        <v>30.3</v>
      </c>
      <c r="T2" t="inlineStr">
        <is>
          <t>Pierde buy box vs cuenta tuya C3 (30.3% mas caro). Pausar evita pagar exposicion para perder contra ti mismo.</t>
        </is>
      </c>
      <c r="U2" t="inlineStr">
        <is>
          <t>MLC39244370</t>
        </is>
      </c>
      <c r="V2" t="inlineStr">
        <is>
          <t>https://articulo.mercadolibre.cl/MLC-2649268824-mampara-ducha-de-120-a-140-cms-ancho-x-190-cms-vidrio-templ-transparente-plateado-_JM</t>
        </is>
      </c>
    </row>
    <row r="3">
      <c r="A3" s="2" t="inlineStr">
        <is>
          <t>SI</t>
        </is>
      </c>
      <c r="B3" s="3" t="inlineStr">
        <is>
          <t>PAUSAR</t>
        </is>
      </c>
      <c r="C3" t="n">
        <v>1</v>
      </c>
      <c r="D3" t="inlineStr">
        <is>
          <t>C2</t>
        </is>
      </c>
      <c r="E3" t="inlineStr">
        <is>
          <t>MLC3903951432</t>
        </is>
      </c>
      <c r="F3" t="inlineStr">
        <is>
          <t>Shower Door Receptaculo 90x90 Curvo Transparente Negro</t>
        </is>
      </c>
      <c r="G3" t="inlineStr">
        <is>
          <t>gold_special</t>
        </is>
      </c>
      <c r="H3" t="n">
        <v>1</v>
      </c>
      <c r="I3" t="n">
        <v>211944</v>
      </c>
      <c r="J3" t="n">
        <v>1</v>
      </c>
      <c r="K3" t="n">
        <v>121110</v>
      </c>
      <c r="L3" t="n">
        <v>68</v>
      </c>
      <c r="Q3" t="inlineStr">
        <is>
          <t>NUESTRO: C3</t>
        </is>
      </c>
      <c r="R3" t="n">
        <v>179000</v>
      </c>
      <c r="S3" t="n">
        <v>18.4</v>
      </c>
      <c r="T3" t="inlineStr">
        <is>
          <t>Pierde buy box vs cuenta tuya C3 (18.4% mas caro). Pausar evita pagar exposicion para perder contra ti mismo.</t>
        </is>
      </c>
      <c r="U3" t="inlineStr">
        <is>
          <t>MLC39080093</t>
        </is>
      </c>
      <c r="V3" t="inlineStr">
        <is>
          <t>https://articulo.mercadolibre.cl/MLC-3903951432-shower-door-receptaculo-90x90-curvo-transparente-negro-_JM</t>
        </is>
      </c>
    </row>
    <row r="4">
      <c r="A4" s="2" t="inlineStr">
        <is>
          <t>SI</t>
        </is>
      </c>
      <c r="B4" s="3" t="inlineStr">
        <is>
          <t>PAUSAR</t>
        </is>
      </c>
      <c r="C4" t="n">
        <v>1</v>
      </c>
      <c r="D4" t="inlineStr">
        <is>
          <t>C1</t>
        </is>
      </c>
      <c r="E4" t="inlineStr">
        <is>
          <t>MLC3903951480</t>
        </is>
      </c>
      <c r="F4" t="inlineStr">
        <is>
          <t>Shower Door Receptaculo 90x90 Curvo Transparente Negro</t>
        </is>
      </c>
      <c r="G4" t="inlineStr">
        <is>
          <t>gold_special</t>
        </is>
      </c>
      <c r="H4" t="n">
        <v>1</v>
      </c>
      <c r="I4" t="n">
        <v>198890</v>
      </c>
      <c r="J4" t="n">
        <v>1</v>
      </c>
      <c r="K4" t="n">
        <v>113650</v>
      </c>
      <c r="L4" t="n">
        <v>68</v>
      </c>
      <c r="Q4" t="inlineStr">
        <is>
          <t>NUESTRO: C3</t>
        </is>
      </c>
      <c r="R4" t="n">
        <v>179000</v>
      </c>
      <c r="S4" t="n">
        <v>11.1</v>
      </c>
      <c r="T4" t="inlineStr">
        <is>
          <t>Pierde buy box vs cuenta tuya C3 (11.1% mas caro). Pausar evita pagar exposicion para perder contra ti mismo.</t>
        </is>
      </c>
      <c r="U4" t="inlineStr">
        <is>
          <t>MLC39080093</t>
        </is>
      </c>
      <c r="V4" t="inlineStr">
        <is>
          <t>https://articulo.mercadolibre.cl/MLC-3903951480-shower-door-receptaculo-90x90-curvo-transparente-negro-_JM</t>
        </is>
      </c>
    </row>
    <row r="5">
      <c r="A5" s="2" t="inlineStr">
        <is>
          <t>SI</t>
        </is>
      </c>
      <c r="B5" s="3" t="inlineStr">
        <is>
          <t>PAUSAR</t>
        </is>
      </c>
      <c r="C5" t="n">
        <v>1</v>
      </c>
      <c r="D5" t="inlineStr">
        <is>
          <t>C1</t>
        </is>
      </c>
      <c r="E5" t="inlineStr">
        <is>
          <t>MLC2008826482</t>
        </is>
      </c>
      <c r="F5" t="inlineStr">
        <is>
          <t>Shower Door Y Receptáculo 80x80x195 Vidrio Templado</t>
        </is>
      </c>
      <c r="G5" t="inlineStr">
        <is>
          <t>gold_special</t>
        </is>
      </c>
      <c r="H5" t="n">
        <v>3</v>
      </c>
      <c r="I5" t="n">
        <v>187690</v>
      </c>
      <c r="J5" t="n">
        <v>80000</v>
      </c>
      <c r="K5" t="n">
        <v>27251</v>
      </c>
      <c r="L5" t="n">
        <v>17.3</v>
      </c>
      <c r="Q5" t="inlineStr">
        <is>
          <t>NUESTRO: C3</t>
        </is>
      </c>
      <c r="R5" t="n">
        <v>169000</v>
      </c>
      <c r="S5" t="n">
        <v>11.1</v>
      </c>
      <c r="T5" t="inlineStr">
        <is>
          <t>Pierde buy box vs cuenta tuya C3 (11.1% mas caro). Pausar evita pagar exposicion para perder contra ti mismo.</t>
        </is>
      </c>
      <c r="U5" t="inlineStr">
        <is>
          <t>MLC27107143</t>
        </is>
      </c>
      <c r="V5" t="inlineStr">
        <is>
          <t>https://articulo.mercadolibre.cl/MLC-2008826482-shower-door-y-receptaculo-80x80x195-vidrio-templado-_JM</t>
        </is>
      </c>
    </row>
    <row r="6">
      <c r="A6" s="2" t="inlineStr">
        <is>
          <t>SI</t>
        </is>
      </c>
      <c r="B6" s="3" t="inlineStr">
        <is>
          <t>PAUSAR</t>
        </is>
      </c>
      <c r="C6" t="n">
        <v>1</v>
      </c>
      <c r="D6" t="inlineStr">
        <is>
          <t>C2</t>
        </is>
      </c>
      <c r="E6" t="inlineStr">
        <is>
          <t>MLC2992400258</t>
        </is>
      </c>
      <c r="F6" t="inlineStr">
        <is>
          <t>Shower Door Y Receptáculo 80x80x195 Vidrio Templado</t>
        </is>
      </c>
      <c r="G6" t="inlineStr">
        <is>
          <t>gold_special</t>
        </is>
      </c>
      <c r="H6" t="n">
        <v>3</v>
      </c>
      <c r="I6" t="n">
        <v>187690</v>
      </c>
      <c r="J6" t="n">
        <v>80000</v>
      </c>
      <c r="K6" t="n">
        <v>27251</v>
      </c>
      <c r="L6" t="n">
        <v>17.3</v>
      </c>
      <c r="Q6" t="inlineStr">
        <is>
          <t>NUESTRO: C3</t>
        </is>
      </c>
      <c r="R6" t="n">
        <v>169000</v>
      </c>
      <c r="S6" t="n">
        <v>11.1</v>
      </c>
      <c r="T6" t="inlineStr">
        <is>
          <t>Pierde buy box vs cuenta tuya C3 (11.1% mas caro). Pausar evita pagar exposicion para perder contra ti mismo.</t>
        </is>
      </c>
      <c r="U6" t="inlineStr">
        <is>
          <t>MLC27107143</t>
        </is>
      </c>
      <c r="V6" t="inlineStr">
        <is>
          <t>https://articulo.mercadolibre.cl/MLC-2992400258-shower-door-y-receptaculo-80x80x195-vidrio-templado-_JM</t>
        </is>
      </c>
    </row>
    <row r="7">
      <c r="A7" s="2" t="inlineStr">
        <is>
          <t>SI</t>
        </is>
      </c>
      <c r="B7" s="3" t="inlineStr">
        <is>
          <t>PAUSAR</t>
        </is>
      </c>
      <c r="C7" t="n">
        <v>1</v>
      </c>
      <c r="D7" t="inlineStr">
        <is>
          <t>C1</t>
        </is>
      </c>
      <c r="E7" t="inlineStr">
        <is>
          <t>MLC1524601740</t>
        </is>
      </c>
      <c r="F7" t="inlineStr">
        <is>
          <t>Lavaplatos Simple Empotrable Ancho 686x456x21 Cm Hamburg Color Plateado</t>
        </is>
      </c>
      <c r="G7" t="inlineStr">
        <is>
          <t>gold_special</t>
        </is>
      </c>
      <c r="H7" t="n">
        <v>3</v>
      </c>
      <c r="I7" t="n">
        <v>126258</v>
      </c>
      <c r="J7" t="n">
        <v>37409</v>
      </c>
      <c r="K7" t="n">
        <v>34738</v>
      </c>
      <c r="L7" t="n">
        <v>32.7</v>
      </c>
      <c r="Q7" t="inlineStr">
        <is>
          <t>NUESTRO: C3</t>
        </is>
      </c>
      <c r="R7" t="n">
        <v>105817</v>
      </c>
      <c r="S7" t="n">
        <v>19.3</v>
      </c>
      <c r="T7" t="inlineStr">
        <is>
          <t>Pierde buy box vs cuenta tuya C3 (19.3% mas caro). Pausar evita pagar exposicion para perder contra ti mismo.</t>
        </is>
      </c>
      <c r="U7" t="inlineStr">
        <is>
          <t>MLC22271659</t>
        </is>
      </c>
      <c r="V7" t="inlineStr">
        <is>
          <t>https://articulo.mercadolibre.cl/MLC-1524601740-lavaplatos-simple-empotrable-ancho-686x456x21-cm-hamburg-color-plateado-_JM</t>
        </is>
      </c>
    </row>
    <row r="8">
      <c r="A8" s="2" t="inlineStr">
        <is>
          <t>SI</t>
        </is>
      </c>
      <c r="B8" s="3" t="inlineStr">
        <is>
          <t>PAUSAR</t>
        </is>
      </c>
      <c r="C8" t="n">
        <v>1</v>
      </c>
      <c r="D8" t="inlineStr">
        <is>
          <t>C3</t>
        </is>
      </c>
      <c r="E8" t="inlineStr">
        <is>
          <t>MLC4014729334</t>
        </is>
      </c>
      <c r="F8" t="inlineStr">
        <is>
          <t>Receptaculo De Ducha Acero Esmaltado De 80x80 Cm</t>
        </is>
      </c>
      <c r="G8" t="inlineStr">
        <is>
          <t>gold_pro</t>
        </is>
      </c>
      <c r="H8" t="n">
        <v>5</v>
      </c>
      <c r="I8" t="n">
        <v>58390</v>
      </c>
      <c r="J8" t="n">
        <v>23601</v>
      </c>
      <c r="K8" t="n">
        <v>9765</v>
      </c>
      <c r="L8" t="n">
        <v>19.9</v>
      </c>
      <c r="Q8" t="inlineStr">
        <is>
          <t>NUESTRO: C2</t>
        </is>
      </c>
      <c r="R8" t="n">
        <v>43053</v>
      </c>
      <c r="S8" t="n">
        <v>35.6</v>
      </c>
      <c r="T8" t="inlineStr">
        <is>
          <t>Pierde buy box vs cuenta tuya C2 (35.6% mas caro). Pausar evita pagar exposicion para perder contra ti mismo.</t>
        </is>
      </c>
      <c r="U8" t="inlineStr">
        <is>
          <t>MLC27235817</t>
        </is>
      </c>
      <c r="V8" t="inlineStr">
        <is>
          <t>https://articulo.mercadolibre.cl/MLC-4014729334-receptaculo-de-ducha-acero-esmaltado-de-80x80-cm-_JM</t>
        </is>
      </c>
    </row>
    <row r="9">
      <c r="A9" s="2" t="inlineStr">
        <is>
          <t>SI</t>
        </is>
      </c>
      <c r="B9" s="3" t="inlineStr">
        <is>
          <t>PAUSAR</t>
        </is>
      </c>
      <c r="C9" t="n">
        <v>1</v>
      </c>
      <c r="D9" t="inlineStr">
        <is>
          <t>C2</t>
        </is>
      </c>
      <c r="E9" t="inlineStr">
        <is>
          <t>MLC1976795676</t>
        </is>
      </c>
      <c r="F9" t="inlineStr">
        <is>
          <t>Barra De Seguridad Muro Vertical De 3 Apoyos Fija Baño Color Plateado</t>
        </is>
      </c>
      <c r="G9" t="inlineStr">
        <is>
          <t>gold_pro</t>
        </is>
      </c>
      <c r="H9" t="n">
        <v>1</v>
      </c>
      <c r="I9" t="n">
        <v>50028</v>
      </c>
      <c r="J9" t="n">
        <v>15712</v>
      </c>
      <c r="K9" t="n">
        <v>12875</v>
      </c>
      <c r="L9" t="n">
        <v>30.6</v>
      </c>
      <c r="Q9" t="inlineStr">
        <is>
          <t>NUESTRO: C1</t>
        </is>
      </c>
      <c r="R9" t="n">
        <v>50028</v>
      </c>
      <c r="S9" t="n">
        <v>0</v>
      </c>
      <c r="T9" t="inlineStr">
        <is>
          <t>Pierde buy box vs cuenta tuya C1 (0% mas caro). Pausar evita pagar exposicion para perder contra ti mismo.</t>
        </is>
      </c>
      <c r="U9" t="inlineStr">
        <is>
          <t>MLC26661669</t>
        </is>
      </c>
      <c r="V9" t="inlineStr">
        <is>
          <t>https://articulo.mercadolibre.cl/MLC-1976795676-barra-de-seguridad-muro-vertical-de-3-apoyos-fija-bano-color-plateado-_JM</t>
        </is>
      </c>
    </row>
    <row r="10">
      <c r="A10" s="2" t="inlineStr">
        <is>
          <t>SI</t>
        </is>
      </c>
      <c r="B10" s="3" t="inlineStr">
        <is>
          <t>PAUSAR</t>
        </is>
      </c>
      <c r="C10" t="n">
        <v>1</v>
      </c>
      <c r="D10" t="inlineStr">
        <is>
          <t>C3</t>
        </is>
      </c>
      <c r="E10" t="inlineStr">
        <is>
          <t>MLC2997898108</t>
        </is>
      </c>
      <c r="F10" t="inlineStr">
        <is>
          <t>Barra De Seguridad Muro Vertical De 3 Apoyos Fija Baño Color Plateado</t>
        </is>
      </c>
      <c r="G10" t="inlineStr">
        <is>
          <t>gold_pro</t>
        </is>
      </c>
      <c r="H10" t="n">
        <v>1</v>
      </c>
      <c r="I10" t="n">
        <v>50028</v>
      </c>
      <c r="J10" t="n">
        <v>15712</v>
      </c>
      <c r="K10" t="n">
        <v>12875</v>
      </c>
      <c r="L10" t="n">
        <v>30.6</v>
      </c>
      <c r="Q10" t="inlineStr">
        <is>
          <t>NUESTRO: C1</t>
        </is>
      </c>
      <c r="R10" t="n">
        <v>50028</v>
      </c>
      <c r="S10" t="n">
        <v>0</v>
      </c>
      <c r="T10" t="inlineStr">
        <is>
          <t>Pierde buy box vs cuenta tuya C1 (0% mas caro). Pausar evita pagar exposicion para perder contra ti mismo.</t>
        </is>
      </c>
      <c r="U10" t="inlineStr">
        <is>
          <t>MLC26661669</t>
        </is>
      </c>
      <c r="V10" t="inlineStr">
        <is>
          <t>https://articulo.mercadolibre.cl/MLC-2997898108-barra-de-seguridad-muro-vertical-de-3-apoyos-fija-bano-color-plateado-_JM</t>
        </is>
      </c>
    </row>
    <row r="11">
      <c r="A11" s="2" t="inlineStr">
        <is>
          <t>SI</t>
        </is>
      </c>
      <c r="B11" s="3" t="inlineStr">
        <is>
          <t>PAUSAR</t>
        </is>
      </c>
      <c r="C11" t="n">
        <v>1</v>
      </c>
      <c r="D11" t="inlineStr">
        <is>
          <t>C3</t>
        </is>
      </c>
      <c r="E11" t="inlineStr">
        <is>
          <t>MLC3767961162</t>
        </is>
      </c>
      <c r="F11" t="inlineStr">
        <is>
          <t>Mezcladora De Baño Victtorino Monocomando De Acero Inoxidable Cromado Brillante Para Ducha Empotrada</t>
        </is>
      </c>
      <c r="G11" t="inlineStr">
        <is>
          <t>gold_pro</t>
        </is>
      </c>
      <c r="H11" t="n">
        <v>3</v>
      </c>
      <c r="I11" t="n">
        <v>40480</v>
      </c>
      <c r="J11" t="n">
        <v>10568</v>
      </c>
      <c r="K11" t="n">
        <v>12563</v>
      </c>
      <c r="L11" t="n">
        <v>36.9</v>
      </c>
      <c r="Q11" t="inlineStr">
        <is>
          <t>NUESTRO: C1</t>
        </is>
      </c>
      <c r="R11" t="n">
        <v>38456</v>
      </c>
      <c r="S11" t="n">
        <v>5.3</v>
      </c>
      <c r="T11" t="inlineStr">
        <is>
          <t>Pierde buy box vs cuenta tuya C1 (5.3% mas caro). Pausar evita pagar exposicion para perder contra ti mismo.</t>
        </is>
      </c>
      <c r="U11" t="inlineStr">
        <is>
          <t>MLC66202132</t>
        </is>
      </c>
      <c r="V11" t="inlineStr">
        <is>
          <t>https://articulo.mercadolibre.cl/MLC-3767961162-mezcladora-de-bano-victtorino-monocomando-de-acero-inoxidable-cromado-brillante-para-ducha-empotrada-_JM</t>
        </is>
      </c>
    </row>
    <row r="12">
      <c r="A12" s="2" t="inlineStr">
        <is>
          <t>SI</t>
        </is>
      </c>
      <c r="B12" s="3" t="inlineStr">
        <is>
          <t>PAUSAR</t>
        </is>
      </c>
      <c r="C12" t="n">
        <v>1</v>
      </c>
      <c r="D12" t="inlineStr">
        <is>
          <t>C2</t>
        </is>
      </c>
      <c r="E12" t="inlineStr">
        <is>
          <t>MLC3790120208</t>
        </is>
      </c>
      <c r="F12" t="inlineStr">
        <is>
          <t>Mezcladora De Baño Victtorino Monocomando De Acero Inoxidable Cromado Brillante Para Ducha Empotrada</t>
        </is>
      </c>
      <c r="G12" t="inlineStr">
        <is>
          <t>gold_special</t>
        </is>
      </c>
      <c r="H12" t="n">
        <v>3</v>
      </c>
      <c r="I12" t="n">
        <v>38456</v>
      </c>
      <c r="J12" t="n">
        <v>10568</v>
      </c>
      <c r="K12" t="n">
        <v>11407</v>
      </c>
      <c r="L12" t="n">
        <v>35.3</v>
      </c>
      <c r="Q12" t="inlineStr">
        <is>
          <t>NUESTRO: C1</t>
        </is>
      </c>
      <c r="R12" t="n">
        <v>38456</v>
      </c>
      <c r="S12" t="n">
        <v>0</v>
      </c>
      <c r="T12" t="inlineStr">
        <is>
          <t>Pierde buy box vs cuenta tuya C1 (0% mas caro). Pausar evita pagar exposicion para perder contra ti mismo.</t>
        </is>
      </c>
      <c r="U12" t="inlineStr">
        <is>
          <t>MLC66202132</t>
        </is>
      </c>
      <c r="V12" t="inlineStr">
        <is>
          <t>https://articulo.mercadolibre.cl/MLC-3790120208-mezcladora-de-bano-victtorino-monocomando-de-acero-inoxidable-cromado-brillante-para-ducha-empotrada-_JM</t>
        </is>
      </c>
    </row>
    <row r="13">
      <c r="A13" s="2" t="inlineStr">
        <is>
          <t>SI</t>
        </is>
      </c>
      <c r="B13" s="3" t="inlineStr">
        <is>
          <t>PAUSAR</t>
        </is>
      </c>
      <c r="C13" t="n">
        <v>1</v>
      </c>
      <c r="D13" t="inlineStr">
        <is>
          <t>C2</t>
        </is>
      </c>
      <c r="E13" t="inlineStr">
        <is>
          <t>MLC1644611789</t>
        </is>
      </c>
      <c r="F13" t="inlineStr">
        <is>
          <t>Bandeja Portatoalla Al Muro Chico</t>
        </is>
      </c>
      <c r="G13" t="inlineStr">
        <is>
          <t>gold_special</t>
        </is>
      </c>
      <c r="H13" t="n">
        <v>2</v>
      </c>
      <c r="I13" t="n">
        <v>35457</v>
      </c>
      <c r="J13" t="n">
        <v>9825</v>
      </c>
      <c r="K13" t="n">
        <v>10436</v>
      </c>
      <c r="L13" t="n">
        <v>35</v>
      </c>
      <c r="Q13" t="inlineStr">
        <is>
          <t>NUESTRO: C3</t>
        </is>
      </c>
      <c r="R13" t="n">
        <v>29590</v>
      </c>
      <c r="S13" t="n">
        <v>19.8</v>
      </c>
      <c r="T13" t="inlineStr">
        <is>
          <t>Pierde buy box vs cuenta tuya C3 (19.8% mas caro). Pausar evita pagar exposicion para perder contra ti mismo.</t>
        </is>
      </c>
      <c r="U13" t="inlineStr">
        <is>
          <t>MLC21789299</t>
        </is>
      </c>
      <c r="V13" t="inlineStr">
        <is>
          <t>https://articulo.mercadolibre.cl/MLC-1644611789-bandeja-portatoalla-al-muro-chico-_JM</t>
        </is>
      </c>
    </row>
    <row r="14">
      <c r="A14" s="2" t="inlineStr">
        <is>
          <t>SI</t>
        </is>
      </c>
      <c r="B14" s="3" t="inlineStr">
        <is>
          <t>PAUSAR</t>
        </is>
      </c>
      <c r="C14" t="n">
        <v>1</v>
      </c>
      <c r="D14" t="inlineStr">
        <is>
          <t>C1</t>
        </is>
      </c>
      <c r="E14" t="inlineStr">
        <is>
          <t>MLC1653064539</t>
        </is>
      </c>
      <c r="F14" t="inlineStr">
        <is>
          <t>Bandeja Portatoalla Al Muro Chico</t>
        </is>
      </c>
      <c r="G14" t="inlineStr">
        <is>
          <t>gold_special</t>
        </is>
      </c>
      <c r="H14" t="n">
        <v>2</v>
      </c>
      <c r="I14" t="n">
        <v>33684</v>
      </c>
      <c r="J14" t="n">
        <v>9825</v>
      </c>
      <c r="K14" t="n">
        <v>9423</v>
      </c>
      <c r="L14" t="n">
        <v>33.3</v>
      </c>
      <c r="Q14" t="inlineStr">
        <is>
          <t>NUESTRO: C3</t>
        </is>
      </c>
      <c r="R14" t="n">
        <v>29590</v>
      </c>
      <c r="S14" t="n">
        <v>13.8</v>
      </c>
      <c r="T14" t="inlineStr">
        <is>
          <t>Pierde buy box vs cuenta tuya C3 (13.8% mas caro). Pausar evita pagar exposicion para perder contra ti mismo.</t>
        </is>
      </c>
      <c r="U14" t="inlineStr">
        <is>
          <t>MLC21789299</t>
        </is>
      </c>
      <c r="V14" t="inlineStr">
        <is>
          <t>https://articulo.mercadolibre.cl/MLC-1653064539-bandeja-portatoalla-al-muro-chico-_JM</t>
        </is>
      </c>
    </row>
    <row r="15">
      <c r="A15" s="2" t="inlineStr">
        <is>
          <t>SI</t>
        </is>
      </c>
      <c r="B15" s="3" t="inlineStr">
        <is>
          <t>PAUSAR</t>
        </is>
      </c>
      <c r="C15" t="n">
        <v>1</v>
      </c>
      <c r="D15" t="inlineStr">
        <is>
          <t>C3</t>
        </is>
      </c>
      <c r="E15" t="inlineStr">
        <is>
          <t>MLC1308152087</t>
        </is>
      </c>
      <c r="F15" t="inlineStr">
        <is>
          <t>Lavaplatos Sobreponer Simple 80x50 Inoxidable Derecho Color Plateado</t>
        </is>
      </c>
      <c r="G15" t="inlineStr">
        <is>
          <t>gold_pro</t>
        </is>
      </c>
      <c r="H15" t="n">
        <v>5</v>
      </c>
      <c r="I15" t="n">
        <v>31190</v>
      </c>
      <c r="J15" t="n">
        <v>10770</v>
      </c>
      <c r="K15" t="n">
        <v>7053</v>
      </c>
      <c r="L15" t="n">
        <v>26.9</v>
      </c>
      <c r="Q15" t="inlineStr">
        <is>
          <t>NUESTRO: EXTERNO</t>
        </is>
      </c>
      <c r="R15" t="n">
        <v>30360</v>
      </c>
      <c r="S15" t="n">
        <v>2.7</v>
      </c>
      <c r="T15" t="inlineStr">
        <is>
          <t>Pierde buy box vs cuenta tuya EXTERNO (2.7% mas caro). Pausar evita pagar exposicion para perder contra ti mismo.</t>
        </is>
      </c>
      <c r="U15" t="inlineStr">
        <is>
          <t>MLC21299614</t>
        </is>
      </c>
      <c r="V15" t="inlineStr">
        <is>
          <t>https://articulo.mercadolibre.cl/MLC-1308152087-lavaplatos-sobreponer-simple-80x50-inoxidable-derecho-color-plateado-_JM</t>
        </is>
      </c>
    </row>
    <row r="16">
      <c r="A16" s="2" t="inlineStr">
        <is>
          <t>SI</t>
        </is>
      </c>
      <c r="B16" s="3" t="inlineStr">
        <is>
          <t>PAUSAR</t>
        </is>
      </c>
      <c r="C16" t="n">
        <v>1</v>
      </c>
      <c r="D16" t="inlineStr">
        <is>
          <t>C3</t>
        </is>
      </c>
      <c r="E16" t="inlineStr">
        <is>
          <t>MLC4016158154</t>
        </is>
      </c>
      <c r="F16" t="inlineStr">
        <is>
          <t>Lavaplatos Sobreponer Simple 80x50 Inoxidable Derecho Color Plateado</t>
        </is>
      </c>
      <c r="G16" t="inlineStr">
        <is>
          <t>gold_pro</t>
        </is>
      </c>
      <c r="H16" t="n">
        <v>5</v>
      </c>
      <c r="I16" t="n">
        <v>31190</v>
      </c>
      <c r="J16" t="n">
        <v>10770</v>
      </c>
      <c r="K16" t="n">
        <v>7053</v>
      </c>
      <c r="L16" t="n">
        <v>26.9</v>
      </c>
      <c r="Q16" t="inlineStr">
        <is>
          <t>NUESTRO: EXTERNO</t>
        </is>
      </c>
      <c r="R16" t="n">
        <v>30360</v>
      </c>
      <c r="S16" t="n">
        <v>2.7</v>
      </c>
      <c r="T16" t="inlineStr">
        <is>
          <t>Pierde buy box vs cuenta tuya EXTERNO (2.7% mas caro). Pausar evita pagar exposicion para perder contra ti mismo.</t>
        </is>
      </c>
      <c r="U16" t="inlineStr">
        <is>
          <t>MLC21299614</t>
        </is>
      </c>
      <c r="V16" t="inlineStr">
        <is>
          <t>https://articulo.mercadolibre.cl/MLC-4016158154-lavaplatos-sobreponer-simple-80x50-inoxidable-derecho-color-plateado-_JM</t>
        </is>
      </c>
    </row>
    <row r="17">
      <c r="A17" s="2" t="inlineStr">
        <is>
          <t>SI</t>
        </is>
      </c>
      <c r="B17" s="3" t="inlineStr">
        <is>
          <t>PAUSAR</t>
        </is>
      </c>
      <c r="C17" t="n">
        <v>1</v>
      </c>
      <c r="D17" t="inlineStr">
        <is>
          <t>C1</t>
        </is>
      </c>
      <c r="E17" t="inlineStr">
        <is>
          <t>MLC2051025010</t>
        </is>
      </c>
      <c r="F17" t="inlineStr">
        <is>
          <t>Porta Papel Higiénico Wc Metalico Redondo</t>
        </is>
      </c>
      <c r="G17" t="inlineStr">
        <is>
          <t>gold_special</t>
        </is>
      </c>
      <c r="H17" t="n">
        <v>1</v>
      </c>
      <c r="I17" t="n">
        <v>13190</v>
      </c>
      <c r="J17" t="n">
        <v>1</v>
      </c>
      <c r="K17" t="n">
        <v>7536</v>
      </c>
      <c r="L17" t="n">
        <v>68</v>
      </c>
      <c r="Q17" t="inlineStr">
        <is>
          <t>NUESTRO: EXTERNO</t>
        </is>
      </c>
      <c r="R17" t="n">
        <v>8096</v>
      </c>
      <c r="S17" t="n">
        <v>62.9</v>
      </c>
      <c r="T17" t="inlineStr">
        <is>
          <t>Pierde buy box vs cuenta tuya EXTERNO (62.9% mas caro). Pausar evita pagar exposicion para perder contra ti mismo.</t>
        </is>
      </c>
      <c r="U17" t="inlineStr">
        <is>
          <t>MLC27520372</t>
        </is>
      </c>
      <c r="V17" t="inlineStr">
        <is>
          <t>https://articulo.mercadolibre.cl/MLC-2051025010-porta-papel-higienico-wc-metalico-redondo-_JM</t>
        </is>
      </c>
    </row>
    <row r="18">
      <c r="A18" s="2" t="inlineStr">
        <is>
          <t>SI</t>
        </is>
      </c>
      <c r="B18" s="3" t="inlineStr">
        <is>
          <t>PAUSAR</t>
        </is>
      </c>
      <c r="C18" t="n">
        <v>1</v>
      </c>
      <c r="D18" t="inlineStr">
        <is>
          <t>C2</t>
        </is>
      </c>
      <c r="E18" t="inlineStr">
        <is>
          <t>MLC3902446360</t>
        </is>
      </c>
      <c r="F18" t="inlineStr">
        <is>
          <t>Dispensador De Jabón Líquido Manual Para Pared Täumm Schawarz Negro</t>
        </is>
      </c>
      <c r="G18" t="inlineStr">
        <is>
          <t>gold_special</t>
        </is>
      </c>
      <c r="H18" t="n">
        <v>2</v>
      </c>
      <c r="I18" t="n">
        <v>11577</v>
      </c>
      <c r="J18" t="n">
        <v>3206</v>
      </c>
      <c r="K18" t="n">
        <v>3409</v>
      </c>
      <c r="L18" t="n">
        <v>35</v>
      </c>
      <c r="Q18" t="inlineStr">
        <is>
          <t>NUESTRO: C3</t>
        </is>
      </c>
      <c r="R18" t="n">
        <v>10998</v>
      </c>
      <c r="S18" t="n">
        <v>5.3</v>
      </c>
      <c r="T18" t="inlineStr">
        <is>
          <t>Pierde buy box vs cuenta tuya C3 (5.3% mas caro). Pausar evita pagar exposicion para perder contra ti mismo.</t>
        </is>
      </c>
      <c r="U18" t="inlineStr">
        <is>
          <t>MLC67498091</t>
        </is>
      </c>
      <c r="V18" t="inlineStr">
        <is>
          <t>https://articulo.mercadolibre.cl/MLC-3902446360-dispensador-de-jabon-liquido-manual-para-pared-tumm-schawarz-negro-_JM</t>
        </is>
      </c>
    </row>
    <row r="19">
      <c r="A19" s="2" t="inlineStr">
        <is>
          <t>SI</t>
        </is>
      </c>
      <c r="B19" s="3" t="inlineStr">
        <is>
          <t>PAUSAR</t>
        </is>
      </c>
      <c r="C19" t="n">
        <v>1</v>
      </c>
      <c r="D19" t="inlineStr">
        <is>
          <t>C1</t>
        </is>
      </c>
      <c r="E19" t="inlineStr">
        <is>
          <t>MLC3902911104</t>
        </is>
      </c>
      <c r="F19" t="inlineStr">
        <is>
          <t>Desague Sifón De 90 Mm Para Receptáculo Plateado</t>
        </is>
      </c>
      <c r="G19" t="inlineStr">
        <is>
          <t>gold_special</t>
        </is>
      </c>
      <c r="H19" t="n">
        <v>2</v>
      </c>
      <c r="I19" t="n">
        <v>10990</v>
      </c>
      <c r="J19" t="n">
        <v>2713</v>
      </c>
      <c r="K19" t="n">
        <v>3567</v>
      </c>
      <c r="L19" t="n">
        <v>38.6</v>
      </c>
      <c r="Q19" t="inlineStr">
        <is>
          <t>NUESTRO: C3</t>
        </is>
      </c>
      <c r="R19" t="n">
        <v>10018</v>
      </c>
      <c r="S19" t="n">
        <v>9.699999999999999</v>
      </c>
      <c r="T19" t="inlineStr">
        <is>
          <t>Pierde buy box vs cuenta tuya C3 (9.7% mas caro). Pausar evita pagar exposicion para perder contra ti mismo.</t>
        </is>
      </c>
      <c r="U19" t="inlineStr">
        <is>
          <t>MLC67879003</t>
        </is>
      </c>
      <c r="V19" t="inlineStr">
        <is>
          <t>https://articulo.mercadolibre.cl/MLC-3902911104-desague-sifon-de-90-mm-para-receptaculo-plateado-_JM</t>
        </is>
      </c>
    </row>
    <row r="20">
      <c r="A20" s="2" t="inlineStr">
        <is>
          <t>SI</t>
        </is>
      </c>
      <c r="B20" s="3" t="inlineStr">
        <is>
          <t>PAUSAR</t>
        </is>
      </c>
      <c r="C20" t="n">
        <v>1</v>
      </c>
      <c r="D20" t="inlineStr">
        <is>
          <t>C2</t>
        </is>
      </c>
      <c r="E20" t="inlineStr">
        <is>
          <t>MLC3902911076</t>
        </is>
      </c>
      <c r="F20" t="inlineStr">
        <is>
          <t>Desague Sifón De 90 Mm Para Receptáculo Plateado</t>
        </is>
      </c>
      <c r="G20" t="inlineStr">
        <is>
          <t>gold_special</t>
        </is>
      </c>
      <c r="H20" t="n">
        <v>2</v>
      </c>
      <c r="I20" t="n">
        <v>10018</v>
      </c>
      <c r="J20" t="n">
        <v>2713</v>
      </c>
      <c r="K20" t="n">
        <v>3012</v>
      </c>
      <c r="L20" t="n">
        <v>35.8</v>
      </c>
      <c r="Q20" t="inlineStr">
        <is>
          <t>NUESTRO: C3</t>
        </is>
      </c>
      <c r="R20" t="n">
        <v>10018</v>
      </c>
      <c r="S20" t="n">
        <v>0</v>
      </c>
      <c r="T20" t="inlineStr">
        <is>
          <t>Pierde buy box vs cuenta tuya C3 (0% mas caro). Pausar evita pagar exposicion para perder contra ti mismo.</t>
        </is>
      </c>
      <c r="U20" t="inlineStr">
        <is>
          <t>MLC67879003</t>
        </is>
      </c>
      <c r="V20" t="inlineStr">
        <is>
          <t>https://articulo.mercadolibre.cl/MLC-3902911076-desague-sifon-de-90-mm-para-receptaculo-plateado-_JM</t>
        </is>
      </c>
    </row>
    <row r="21">
      <c r="A21" s="2" t="inlineStr">
        <is>
          <t>SI</t>
        </is>
      </c>
      <c r="B21" s="3" t="inlineStr">
        <is>
          <t>PAUSAR</t>
        </is>
      </c>
      <c r="C21" t="n">
        <v>1</v>
      </c>
      <c r="D21" t="inlineStr">
        <is>
          <t>C1</t>
        </is>
      </c>
      <c r="E21" t="inlineStr">
        <is>
          <t>MLC1717202779</t>
        </is>
      </c>
      <c r="F21" t="inlineStr">
        <is>
          <t>Pack De 6 Rollos Papel Higienico Industrial 216 Metros</t>
        </is>
      </c>
      <c r="G21" t="inlineStr">
        <is>
          <t>gold_pro</t>
        </is>
      </c>
      <c r="H21" t="n">
        <v>5</v>
      </c>
      <c r="I21" t="n">
        <v>6783</v>
      </c>
      <c r="J21" t="n">
        <v>1964</v>
      </c>
      <c r="K21" t="n">
        <v>1912</v>
      </c>
      <c r="L21" t="n">
        <v>33.5</v>
      </c>
      <c r="Q21" t="inlineStr">
        <is>
          <t>NUESTRO: C1</t>
        </is>
      </c>
      <c r="R21" t="n">
        <v>1100</v>
      </c>
      <c r="S21" t="n">
        <v>516.6</v>
      </c>
      <c r="T21" t="inlineStr">
        <is>
          <t>Pierde buy box vs cuenta tuya C1 (516.6% mas caro). Pausar evita pagar exposicion para perder contra ti mismo.</t>
        </is>
      </c>
      <c r="U21" t="inlineStr">
        <is>
          <t>MLC2070056542</t>
        </is>
      </c>
      <c r="V21" t="inlineStr">
        <is>
          <t>https://articulo.mercadolibre.cl/MLC-1717202779-pack-de-6-rollos-papel-higienico-industrial-216-metros-_JM</t>
        </is>
      </c>
    </row>
    <row r="22">
      <c r="A22" s="2" t="inlineStr">
        <is>
          <t>SI</t>
        </is>
      </c>
      <c r="B22" s="3" t="inlineStr">
        <is>
          <t>PAUSAR</t>
        </is>
      </c>
      <c r="C22" t="n">
        <v>1</v>
      </c>
      <c r="D22" t="inlineStr">
        <is>
          <t>C2</t>
        </is>
      </c>
      <c r="E22" t="inlineStr">
        <is>
          <t>MLC3734406876</t>
        </is>
      </c>
      <c r="F22" t="inlineStr">
        <is>
          <t>Válvula Lateral Para Wc Eficiente Y Durable</t>
        </is>
      </c>
      <c r="G22" t="inlineStr">
        <is>
          <t>gold_special</t>
        </is>
      </c>
      <c r="H22" t="n">
        <v>10</v>
      </c>
      <c r="I22" t="n">
        <v>6290</v>
      </c>
      <c r="J22" t="n">
        <v>1876</v>
      </c>
      <c r="K22" t="n">
        <v>1718</v>
      </c>
      <c r="L22" t="n">
        <v>32.5</v>
      </c>
      <c r="Q22" t="inlineStr">
        <is>
          <t>NUESTRO: C3</t>
        </is>
      </c>
      <c r="R22" t="n">
        <v>6290</v>
      </c>
      <c r="S22" t="n">
        <v>0</v>
      </c>
      <c r="T22" t="inlineStr">
        <is>
          <t>Pierde buy box vs cuenta tuya C3 (0% mas caro). Pausar evita pagar exposicion para perder contra ti mismo.</t>
        </is>
      </c>
      <c r="U22" t="inlineStr">
        <is>
          <t>MLC2068899311</t>
        </is>
      </c>
      <c r="V22" t="inlineStr">
        <is>
          <t>https://articulo.mercadolibre.cl/MLC-3734406876-valvula-lateral-para-wc-eficiente-y-durable-_JM</t>
        </is>
      </c>
    </row>
    <row r="23">
      <c r="A23" s="2" t="inlineStr">
        <is>
          <t>SI</t>
        </is>
      </c>
      <c r="B23" s="3" t="inlineStr">
        <is>
          <t>PAUSAR</t>
        </is>
      </c>
      <c r="C23" t="n">
        <v>1</v>
      </c>
      <c r="D23" t="inlineStr">
        <is>
          <t>C1</t>
        </is>
      </c>
      <c r="E23" t="inlineStr">
        <is>
          <t>MLC1891425406</t>
        </is>
      </c>
      <c r="F23" t="inlineStr">
        <is>
          <t>Jabonera Colomba Cromada Vidrio Empavonado Color Plateado</t>
        </is>
      </c>
      <c r="G23" t="inlineStr">
        <is>
          <t>gold_pro</t>
        </is>
      </c>
      <c r="H23" t="n">
        <v>1</v>
      </c>
      <c r="I23" t="n">
        <v>5568</v>
      </c>
      <c r="J23" t="n">
        <v>1642</v>
      </c>
      <c r="K23" t="n">
        <v>1540</v>
      </c>
      <c r="L23" t="n">
        <v>32.9</v>
      </c>
      <c r="Q23" t="inlineStr">
        <is>
          <t>NUESTRO: C3</t>
        </is>
      </c>
      <c r="R23" t="n">
        <v>5190</v>
      </c>
      <c r="S23" t="n">
        <v>7.3</v>
      </c>
      <c r="T23" t="inlineStr">
        <is>
          <t>Pierde buy box vs cuenta tuya C3 (7.3% mas caro). Pausar evita pagar exposicion para perder contra ti mismo.</t>
        </is>
      </c>
      <c r="U23" t="inlineStr">
        <is>
          <t>MLC26249434</t>
        </is>
      </c>
      <c r="V23" t="inlineStr">
        <is>
          <t>https://articulo.mercadolibre.cl/MLC-1891425406-jabonera-colomba-cromada-vidrio-empavonado-color-plateado-_JM</t>
        </is>
      </c>
    </row>
    <row r="24">
      <c r="A24" s="2" t="inlineStr">
        <is>
          <t>SI</t>
        </is>
      </c>
      <c r="B24" s="3" t="inlineStr">
        <is>
          <t>PAUSAR</t>
        </is>
      </c>
      <c r="C24" t="n">
        <v>1</v>
      </c>
      <c r="D24" t="inlineStr">
        <is>
          <t>C2</t>
        </is>
      </c>
      <c r="E24" t="inlineStr">
        <is>
          <t>MLC1422400091</t>
        </is>
      </c>
      <c r="F24" t="inlineStr">
        <is>
          <t>Jabonera Colomba Cromada Vidrio Empavonado Color Plateado</t>
        </is>
      </c>
      <c r="G24" t="inlineStr">
        <is>
          <t>gold_pro</t>
        </is>
      </c>
      <c r="H24" t="n">
        <v>1</v>
      </c>
      <c r="I24" t="n">
        <v>5568</v>
      </c>
      <c r="J24" t="n">
        <v>1642</v>
      </c>
      <c r="K24" t="n">
        <v>1540</v>
      </c>
      <c r="L24" t="n">
        <v>32.9</v>
      </c>
      <c r="Q24" t="inlineStr">
        <is>
          <t>NUESTRO: C3</t>
        </is>
      </c>
      <c r="R24" t="n">
        <v>5190</v>
      </c>
      <c r="S24" t="n">
        <v>7.3</v>
      </c>
      <c r="T24" t="inlineStr">
        <is>
          <t>Pierde buy box vs cuenta tuya C3 (7.3% mas caro). Pausar evita pagar exposicion para perder contra ti mismo.</t>
        </is>
      </c>
      <c r="U24" t="inlineStr">
        <is>
          <t>MLC26249434</t>
        </is>
      </c>
      <c r="V24" t="inlineStr">
        <is>
          <t>https://articulo.mercadolibre.cl/MLC-1422400091-jabonera-colomba-cromada-vidrio-empavonado-color-plateado-_JM</t>
        </is>
      </c>
    </row>
    <row r="25">
      <c r="A25" s="2" t="inlineStr">
        <is>
          <t>SI</t>
        </is>
      </c>
      <c r="B25" s="3" t="inlineStr">
        <is>
          <t>PAUSAR</t>
        </is>
      </c>
      <c r="C25" t="n">
        <v>1</v>
      </c>
      <c r="D25" t="inlineStr">
        <is>
          <t>C1</t>
        </is>
      </c>
      <c r="E25" t="inlineStr">
        <is>
          <t>MLC3998955300</t>
        </is>
      </c>
      <c r="F25" t="inlineStr">
        <is>
          <t>Sifón De Botella Täumm De Plástico Para Lavaplatos Blanco Mate</t>
        </is>
      </c>
      <c r="G25" t="inlineStr">
        <is>
          <t>gold_special</t>
        </is>
      </c>
      <c r="H25" t="n">
        <v>7</v>
      </c>
      <c r="I25" t="n">
        <v>5390</v>
      </c>
      <c r="J25" t="n">
        <v>1447</v>
      </c>
      <c r="K25" t="n">
        <v>1633</v>
      </c>
      <c r="L25" t="n">
        <v>36.1</v>
      </c>
      <c r="Q25" t="inlineStr">
        <is>
          <t>NUESTRO: C2</t>
        </is>
      </c>
      <c r="R25" t="n">
        <v>5165</v>
      </c>
      <c r="S25" t="n">
        <v>4.4</v>
      </c>
      <c r="T25" t="inlineStr">
        <is>
          <t>Pierde buy box vs cuenta tuya C2 (4.4% mas caro). Pausar evita pagar exposicion para perder contra ti mismo.</t>
        </is>
      </c>
      <c r="U25" t="inlineStr">
        <is>
          <t>MLC67843751</t>
        </is>
      </c>
      <c r="V25" t="inlineStr">
        <is>
          <t>https://articulo.mercadolibre.cl/MLC-3998955300-sifon-de-botella-tumm-de-plastico-para-lavaplatos-blanco-mate-_JM</t>
        </is>
      </c>
    </row>
    <row r="26">
      <c r="A26" s="2" t="inlineStr">
        <is>
          <t>SI</t>
        </is>
      </c>
      <c r="B26" s="3" t="inlineStr">
        <is>
          <t>PAUSAR</t>
        </is>
      </c>
      <c r="C26" t="n">
        <v>1</v>
      </c>
      <c r="D26" t="inlineStr">
        <is>
          <t>C3</t>
        </is>
      </c>
      <c r="E26" t="inlineStr">
        <is>
          <t>MLC2998529622</t>
        </is>
      </c>
      <c r="F26" t="inlineStr">
        <is>
          <t>1 Paquete De Toalla Interfoliada 200 U</t>
        </is>
      </c>
      <c r="G26" t="inlineStr">
        <is>
          <t>gold_pro</t>
        </is>
      </c>
      <c r="H26" t="n">
        <v>261</v>
      </c>
      <c r="I26" t="n">
        <v>2920</v>
      </c>
      <c r="J26" t="n">
        <v>1160</v>
      </c>
      <c r="K26" t="n">
        <v>509</v>
      </c>
      <c r="L26" t="n">
        <v>20.7</v>
      </c>
      <c r="Q26" t="inlineStr">
        <is>
          <t>NUESTRO: C1</t>
        </is>
      </c>
      <c r="R26" t="n">
        <v>2774</v>
      </c>
      <c r="S26" t="n">
        <v>5.3</v>
      </c>
      <c r="T26" t="inlineStr">
        <is>
          <t>Pierde buy box vs cuenta tuya C1 (5.3% mas caro). Pausar evita pagar exposicion para perder contra ti mismo.</t>
        </is>
      </c>
      <c r="U26" t="inlineStr">
        <is>
          <t>MLC35897660</t>
        </is>
      </c>
      <c r="V26" t="inlineStr">
        <is>
          <t>https://articulo.mercadolibre.cl/MLC-2998529622-1-paquete-de-toalla-interfoliada-200-u-_JM</t>
        </is>
      </c>
    </row>
    <row r="27">
      <c r="A27" s="2" t="inlineStr">
        <is>
          <t>SI</t>
        </is>
      </c>
      <c r="B27" s="3" t="inlineStr">
        <is>
          <t>PAUSAR</t>
        </is>
      </c>
      <c r="C27" t="n">
        <v>1</v>
      </c>
      <c r="D27" t="inlineStr">
        <is>
          <t>C2</t>
        </is>
      </c>
      <c r="E27" t="inlineStr">
        <is>
          <t>MLC2992421498</t>
        </is>
      </c>
      <c r="F27" t="inlineStr">
        <is>
          <t>1 Paquete De Toalla Interfoliada 200 U</t>
        </is>
      </c>
      <c r="G27" t="inlineStr">
        <is>
          <t>gold_special</t>
        </is>
      </c>
      <c r="H27" t="n">
        <v>261</v>
      </c>
      <c r="I27" t="n">
        <v>2774</v>
      </c>
      <c r="J27" t="n">
        <v>1160</v>
      </c>
      <c r="K27" t="n">
        <v>425</v>
      </c>
      <c r="L27" t="n">
        <v>18.2</v>
      </c>
      <c r="Q27" t="inlineStr">
        <is>
          <t>NUESTRO: C1</t>
        </is>
      </c>
      <c r="R27" t="n">
        <v>2774</v>
      </c>
      <c r="S27" t="n">
        <v>0</v>
      </c>
      <c r="T27" t="inlineStr">
        <is>
          <t>Pierde buy box vs cuenta tuya C1 (0% mas caro). Pausar evita pagar exposicion para perder contra ti mismo.</t>
        </is>
      </c>
      <c r="U27" t="inlineStr">
        <is>
          <t>MLC35897660</t>
        </is>
      </c>
      <c r="V27" t="inlineStr">
        <is>
          <t>https://articulo.mercadolibre.cl/MLC-2992421498-1-paquete-de-toalla-interfoliada-200-u-_JM</t>
        </is>
      </c>
    </row>
    <row r="28">
      <c r="A28" s="2" t="inlineStr">
        <is>
          <t>SI</t>
        </is>
      </c>
      <c r="B28" s="3" t="inlineStr">
        <is>
          <t>PAUSAR</t>
        </is>
      </c>
      <c r="C28" t="n">
        <v>1</v>
      </c>
      <c r="D28" t="inlineStr">
        <is>
          <t>C2</t>
        </is>
      </c>
      <c r="E28" t="inlineStr">
        <is>
          <t>MLC1877648593</t>
        </is>
      </c>
      <c r="F28" t="inlineStr">
        <is>
          <t>Sello Antifuga Asiento Wc Redondo</t>
        </is>
      </c>
      <c r="G28" t="inlineStr">
        <is>
          <t>gold_special</t>
        </is>
      </c>
      <c r="H28" t="n">
        <v>1</v>
      </c>
      <c r="I28" t="n">
        <v>2290</v>
      </c>
      <c r="J28" t="n">
        <v>558</v>
      </c>
      <c r="K28" t="n">
        <v>751</v>
      </c>
      <c r="L28" t="n">
        <v>39</v>
      </c>
      <c r="Q28" t="inlineStr">
        <is>
          <t>NUESTRO: C3</t>
        </is>
      </c>
      <c r="R28" t="n">
        <v>1963</v>
      </c>
      <c r="S28" t="n">
        <v>16.7</v>
      </c>
      <c r="T28" t="inlineStr">
        <is>
          <t>Pierde buy box vs cuenta tuya C3 (16.7% mas caro). Pausar evita pagar exposicion para perder contra ti mismo.</t>
        </is>
      </c>
      <c r="U28" t="inlineStr">
        <is>
          <t>MLC2080498759</t>
        </is>
      </c>
      <c r="V28" t="inlineStr">
        <is>
          <t>https://articulo.mercadolibre.cl/MLC-1877648593-sello-antifuga-asiento-wc-redondo-_JM</t>
        </is>
      </c>
    </row>
    <row r="29">
      <c r="A29" s="2" t="inlineStr">
        <is>
          <t>SI</t>
        </is>
      </c>
      <c r="B29" s="3" t="inlineStr">
        <is>
          <t>PAUSAR</t>
        </is>
      </c>
      <c r="C29" t="n">
        <v>1</v>
      </c>
      <c r="D29" t="inlineStr">
        <is>
          <t>C2</t>
        </is>
      </c>
      <c r="E29" t="inlineStr">
        <is>
          <t>MLC2927271006</t>
        </is>
      </c>
      <c r="F29" t="inlineStr">
        <is>
          <t>Rollo Toalla Papel Higiénico Industrial 216 M</t>
        </is>
      </c>
      <c r="G29" t="inlineStr">
        <is>
          <t>gold_pro</t>
        </is>
      </c>
      <c r="H29" t="n">
        <v>25</v>
      </c>
      <c r="I29" t="n">
        <v>1256</v>
      </c>
      <c r="J29" t="n">
        <v>500</v>
      </c>
      <c r="K29" t="n">
        <v>218</v>
      </c>
      <c r="L29" t="n">
        <v>20.6</v>
      </c>
      <c r="Q29" t="inlineStr">
        <is>
          <t>NUESTRO: C1</t>
        </is>
      </c>
      <c r="R29" t="n">
        <v>1100</v>
      </c>
      <c r="S29" t="n">
        <v>14.2</v>
      </c>
      <c r="T29" t="inlineStr">
        <is>
          <t>Pierde buy box vs cuenta tuya C1 (14.2% mas caro). Pausar evita pagar exposicion para perder contra ti mismo.</t>
        </is>
      </c>
      <c r="U29" t="inlineStr">
        <is>
          <t>MLC2070056542</t>
        </is>
      </c>
      <c r="V29" t="inlineStr">
        <is>
          <t>https://articulo.mercadolibre.cl/MLC-2927271006-rollo-toalla-papel-higienico-industrial-216-m-_JM</t>
        </is>
      </c>
    </row>
    <row r="30">
      <c r="A30" s="2" t="inlineStr">
        <is>
          <t>SI</t>
        </is>
      </c>
      <c r="B30" s="4" t="inlineStr">
        <is>
          <t>BAJAR_PRECIO</t>
        </is>
      </c>
      <c r="C30" t="n">
        <v>2</v>
      </c>
      <c r="D30" t="inlineStr">
        <is>
          <t>C2</t>
        </is>
      </c>
      <c r="E30" t="inlineStr">
        <is>
          <t>MLC1465009840</t>
        </is>
      </c>
      <c r="F30" t="inlineStr">
        <is>
          <t>Lavaplatos Empotrados Simple 100x44 Inox Izquierdo-191432514 Plateado</t>
        </is>
      </c>
      <c r="G30" t="inlineStr">
        <is>
          <t>gold_pro</t>
        </is>
      </c>
      <c r="H30" t="n">
        <v>17</v>
      </c>
      <c r="I30" t="n">
        <v>41396</v>
      </c>
      <c r="J30" t="n">
        <v>13219</v>
      </c>
      <c r="K30" t="n">
        <v>10436</v>
      </c>
      <c r="L30" t="n">
        <v>30</v>
      </c>
      <c r="M30" t="n">
        <v>33650</v>
      </c>
      <c r="N30" t="n">
        <v>6010</v>
      </c>
      <c r="O30" t="n">
        <v>21.3</v>
      </c>
      <c r="P30" t="n">
        <v>-8.699999999999999</v>
      </c>
      <c r="Q30" t="inlineStr">
        <is>
          <t>EXT: None</t>
        </is>
      </c>
      <c r="R30" t="n">
        <v>33990</v>
      </c>
      <c r="S30" t="n">
        <v>21.8</v>
      </c>
      <c r="T30" t="inlineStr">
        <is>
          <t>Externo None gana a $33.990. Bajando a $33.650 recuperas buy box manteniendo margen 21.3%.</t>
        </is>
      </c>
      <c r="U30" t="inlineStr">
        <is>
          <t>MLC22271655</t>
        </is>
      </c>
      <c r="V30" t="inlineStr">
        <is>
          <t>https://articulo.mercadolibre.cl/MLC-1465009840-lavaplatos-empotrados-simple-100x44-inox-izquierdo-191432514-plateado-_JM</t>
        </is>
      </c>
    </row>
    <row r="31">
      <c r="A31" s="2" t="inlineStr">
        <is>
          <t>SI</t>
        </is>
      </c>
      <c r="B31" s="4" t="inlineStr">
        <is>
          <t>BAJAR_PRECIO</t>
        </is>
      </c>
      <c r="C31" t="n">
        <v>2</v>
      </c>
      <c r="D31" t="inlineStr">
        <is>
          <t>C3</t>
        </is>
      </c>
      <c r="E31" t="inlineStr">
        <is>
          <t>MLC1367027081</t>
        </is>
      </c>
      <c r="F31" t="inlineStr">
        <is>
          <t>Lavaplatos Empotrados Simple 100x44 Inox Izquierdo-191432514 Plateado</t>
        </is>
      </c>
      <c r="G31" t="inlineStr">
        <is>
          <t>gold_pro</t>
        </is>
      </c>
      <c r="H31" t="n">
        <v>17</v>
      </c>
      <c r="I31" t="n">
        <v>36390</v>
      </c>
      <c r="J31" t="n">
        <v>13219</v>
      </c>
      <c r="K31" t="n">
        <v>7575</v>
      </c>
      <c r="L31" t="n">
        <v>24.8</v>
      </c>
      <c r="M31" t="n">
        <v>33650</v>
      </c>
      <c r="N31" t="n">
        <v>6010</v>
      </c>
      <c r="O31" t="n">
        <v>21.3</v>
      </c>
      <c r="P31" t="n">
        <v>-3.5</v>
      </c>
      <c r="Q31" t="inlineStr">
        <is>
          <t>EXT: None</t>
        </is>
      </c>
      <c r="R31" t="n">
        <v>33990</v>
      </c>
      <c r="S31" t="n">
        <v>7.1</v>
      </c>
      <c r="T31" t="inlineStr">
        <is>
          <t>Externo None gana a $33.990. Bajando a $33.650 recuperas buy box manteniendo margen 21.3%.</t>
        </is>
      </c>
      <c r="U31" t="inlineStr">
        <is>
          <t>MLC22271655</t>
        </is>
      </c>
      <c r="V31" t="inlineStr">
        <is>
          <t>https://articulo.mercadolibre.cl/MLC-1367027081-lavaplatos-empotrados-simple-100x44-inox-izquierdo-191432514-plateado-_JM</t>
        </is>
      </c>
    </row>
    <row r="32">
      <c r="A32" s="2" t="inlineStr">
        <is>
          <t>SI</t>
        </is>
      </c>
      <c r="B32" s="4" t="inlineStr">
        <is>
          <t>BAJAR_PRECIO</t>
        </is>
      </c>
      <c r="C32" t="n">
        <v>2</v>
      </c>
      <c r="D32" t="inlineStr">
        <is>
          <t>C2</t>
        </is>
      </c>
      <c r="E32" t="inlineStr">
        <is>
          <t>MLC1296395294</t>
        </is>
      </c>
      <c r="F32" t="inlineStr">
        <is>
          <t>Lavaplatos Sobreponer Simple 80x50 Inoxidable Derecho Color Plateado</t>
        </is>
      </c>
      <c r="G32" t="inlineStr">
        <is>
          <t>gold_special</t>
        </is>
      </c>
      <c r="H32" t="n">
        <v>5</v>
      </c>
      <c r="I32" t="n">
        <v>31190</v>
      </c>
      <c r="J32" t="n">
        <v>10770</v>
      </c>
      <c r="K32" t="n">
        <v>7053</v>
      </c>
      <c r="L32" t="n">
        <v>26.9</v>
      </c>
      <c r="M32" t="n">
        <v>30050</v>
      </c>
      <c r="N32" t="n">
        <v>6401</v>
      </c>
      <c r="O32" t="n">
        <v>25.4</v>
      </c>
      <c r="P32" t="n">
        <v>-1.5</v>
      </c>
      <c r="Q32" t="inlineStr">
        <is>
          <t>EXT: None</t>
        </is>
      </c>
      <c r="R32" t="n">
        <v>30360</v>
      </c>
      <c r="S32" t="n">
        <v>2.7</v>
      </c>
      <c r="T32" t="inlineStr">
        <is>
          <t>Externo None gana a $30.360. Bajando a $30.050 recuperas buy box manteniendo margen 25.4%.</t>
        </is>
      </c>
      <c r="U32" t="inlineStr">
        <is>
          <t>MLC21299614</t>
        </is>
      </c>
      <c r="V32" t="inlineStr">
        <is>
          <t>https://articulo.mercadolibre.cl/MLC-1296395294-lavaplatos-sobreponer-simple-80x50-inoxidable-derecho-color-plateado-_JM</t>
        </is>
      </c>
    </row>
    <row r="33">
      <c r="A33" s="2" t="inlineStr">
        <is>
          <t>SI</t>
        </is>
      </c>
      <c r="B33" s="4" t="inlineStr">
        <is>
          <t>BAJAR_PRECIO</t>
        </is>
      </c>
      <c r="C33" t="n">
        <v>2</v>
      </c>
      <c r="D33" t="inlineStr">
        <is>
          <t>C1</t>
        </is>
      </c>
      <c r="E33" t="inlineStr">
        <is>
          <t>MLC3737713104</t>
        </is>
      </c>
      <c r="F33" t="inlineStr">
        <is>
          <t>Flexible De Ducha Acero Inoxidable 1,85 Mts Spiegel Taumm Acabado Cromado Color Plateado</t>
        </is>
      </c>
      <c r="G33" t="inlineStr">
        <is>
          <t>gold_special</t>
        </is>
      </c>
      <c r="H33" t="n">
        <v>6</v>
      </c>
      <c r="I33" t="n">
        <v>4788</v>
      </c>
      <c r="J33" t="n">
        <v>1463</v>
      </c>
      <c r="K33" t="n">
        <v>1273</v>
      </c>
      <c r="L33" t="n">
        <v>31.6</v>
      </c>
      <c r="M33" t="n">
        <v>3810</v>
      </c>
      <c r="N33" t="n">
        <v>714</v>
      </c>
      <c r="O33" t="n">
        <v>22.3</v>
      </c>
      <c r="P33" t="n">
        <v>-9.300000000000001</v>
      </c>
      <c r="Q33" t="inlineStr">
        <is>
          <t>EXT: None</t>
        </is>
      </c>
      <c r="R33" t="n">
        <v>3852</v>
      </c>
      <c r="S33" t="n">
        <v>24.3</v>
      </c>
      <c r="T33" t="inlineStr">
        <is>
          <t>Externo None gana a $3.852. Bajando a $3.810 recuperas buy box manteniendo margen 22.3%.</t>
        </is>
      </c>
      <c r="U33" t="inlineStr">
        <is>
          <t>MLC56670237</t>
        </is>
      </c>
      <c r="V33" t="inlineStr">
        <is>
          <t>https://articulo.mercadolibre.cl/MLC-3737713104-flexible-de-ducha-acero-inoxidable-185-mts-spiegel-taumm-acabado-cromado-color-plateado-_JM</t>
        </is>
      </c>
    </row>
    <row r="34">
      <c r="A34" s="2" t="inlineStr">
        <is>
          <t>PENDIENTE</t>
        </is>
      </c>
      <c r="B34" s="4" t="inlineStr">
        <is>
          <t>BAJAR_PRECIO</t>
        </is>
      </c>
      <c r="C34" t="n">
        <v>3</v>
      </c>
      <c r="D34" t="inlineStr">
        <is>
          <t>C1</t>
        </is>
      </c>
      <c r="E34" t="inlineStr">
        <is>
          <t>MLC1371605009</t>
        </is>
      </c>
      <c r="F34" t="inlineStr">
        <is>
          <t>Lavaplatos Empotrados Simple 100x44 Inox Izquierdo-191432514 Plateado</t>
        </is>
      </c>
      <c r="G34" t="inlineStr">
        <is>
          <t>gold_pro</t>
        </is>
      </c>
      <c r="H34" t="n">
        <v>17</v>
      </c>
      <c r="I34" t="n">
        <v>43590</v>
      </c>
      <c r="J34" t="n">
        <v>13219</v>
      </c>
      <c r="K34" t="n">
        <v>11690</v>
      </c>
      <c r="L34" t="n">
        <v>31.9</v>
      </c>
      <c r="M34" t="n">
        <v>33650</v>
      </c>
      <c r="N34" t="n">
        <v>6010</v>
      </c>
      <c r="O34" t="n">
        <v>21.3</v>
      </c>
      <c r="P34" t="n">
        <v>-10.6</v>
      </c>
      <c r="Q34" t="inlineStr">
        <is>
          <t>EXT: None</t>
        </is>
      </c>
      <c r="R34" t="n">
        <v>33990</v>
      </c>
      <c r="S34" t="n">
        <v>28.2</v>
      </c>
      <c r="T34" t="inlineStr">
        <is>
          <t>Externo None gana a $33.990. Bajando a $33.650 recuperas buy box manteniendo margen 21.3%.</t>
        </is>
      </c>
      <c r="U34" t="inlineStr">
        <is>
          <t>MLC22271655</t>
        </is>
      </c>
      <c r="V34" t="inlineStr">
        <is>
          <t>https://articulo.mercadolibre.cl/MLC-1371605009-lavaplatos-empotrados-simple-100x44-inox-izquierdo-191432514-plateado-_JM</t>
        </is>
      </c>
    </row>
    <row r="35">
      <c r="A35" s="2" t="inlineStr">
        <is>
          <t>PENDIENTE</t>
        </is>
      </c>
      <c r="B35" s="4" t="inlineStr">
        <is>
          <t>BAJAR_PRECIO</t>
        </is>
      </c>
      <c r="C35" t="n">
        <v>3</v>
      </c>
      <c r="D35" t="inlineStr">
        <is>
          <t>C1</t>
        </is>
      </c>
      <c r="E35" t="inlineStr">
        <is>
          <t>MLC1903277409</t>
        </is>
      </c>
      <c r="F35" t="inlineStr">
        <is>
          <t>Monomando Ducha Empotrado Notte Acabado Mate Color Negro</t>
        </is>
      </c>
      <c r="G35" t="inlineStr">
        <is>
          <t>gold_special</t>
        </is>
      </c>
      <c r="H35" t="n">
        <v>1</v>
      </c>
      <c r="I35" t="n">
        <v>33904</v>
      </c>
      <c r="J35" t="n">
        <v>10633</v>
      </c>
      <c r="K35" t="n">
        <v>8741</v>
      </c>
      <c r="L35" t="n">
        <v>30.7</v>
      </c>
      <c r="M35" t="n">
        <v>19780</v>
      </c>
      <c r="N35" t="n">
        <v>670</v>
      </c>
      <c r="O35" t="n">
        <v>4</v>
      </c>
      <c r="P35" t="n">
        <v>-26.7</v>
      </c>
      <c r="Q35" t="inlineStr">
        <is>
          <t>EXT: None</t>
        </is>
      </c>
      <c r="R35" t="n">
        <v>19980</v>
      </c>
      <c r="S35" t="n">
        <v>69.7</v>
      </c>
      <c r="T35" t="inlineStr">
        <is>
          <t>Externo None gana a $19.980. Bajando a $19.780 recuperas buy box manteniendo margen 4.0%.</t>
        </is>
      </c>
      <c r="U35" t="inlineStr">
        <is>
          <t>MLC41735119</t>
        </is>
      </c>
      <c r="V35" t="inlineStr">
        <is>
          <t>https://articulo.mercadolibre.cl/MLC-1903277409-monomando-ducha-empotrado-notte-acabado-mate-color-negro-_JM</t>
        </is>
      </c>
    </row>
    <row r="36">
      <c r="A36" s="2" t="inlineStr">
        <is>
          <t>PENDIENTE</t>
        </is>
      </c>
      <c r="B36" s="4" t="inlineStr">
        <is>
          <t>BAJAR_PRECIO</t>
        </is>
      </c>
      <c r="C36" t="n">
        <v>3</v>
      </c>
      <c r="D36" t="inlineStr">
        <is>
          <t>C2</t>
        </is>
      </c>
      <c r="E36" t="inlineStr">
        <is>
          <t>MLC1911347709</t>
        </is>
      </c>
      <c r="F36" t="inlineStr">
        <is>
          <t>Monomando Ducha Empotrado Notte Acabado Mate Color Negro</t>
        </is>
      </c>
      <c r="G36" t="inlineStr">
        <is>
          <t>gold_special</t>
        </is>
      </c>
      <c r="H36" t="n">
        <v>1</v>
      </c>
      <c r="I36" t="n">
        <v>32209</v>
      </c>
      <c r="J36" t="n">
        <v>10633</v>
      </c>
      <c r="K36" t="n">
        <v>7772</v>
      </c>
      <c r="L36" t="n">
        <v>28.7</v>
      </c>
      <c r="M36" t="n">
        <v>19780</v>
      </c>
      <c r="N36" t="n">
        <v>670</v>
      </c>
      <c r="O36" t="n">
        <v>4</v>
      </c>
      <c r="P36" t="n">
        <v>-24.7</v>
      </c>
      <c r="Q36" t="inlineStr">
        <is>
          <t>EXT: None</t>
        </is>
      </c>
      <c r="R36" t="n">
        <v>19980</v>
      </c>
      <c r="S36" t="n">
        <v>61.2</v>
      </c>
      <c r="T36" t="inlineStr">
        <is>
          <t>Externo None gana a $19.980. Bajando a $19.780 recuperas buy box manteniendo margen 4.0%.</t>
        </is>
      </c>
      <c r="U36" t="inlineStr">
        <is>
          <t>MLC41735119</t>
        </is>
      </c>
      <c r="V36" t="inlineStr">
        <is>
          <t>https://articulo.mercadolibre.cl/MLC-1911347709-monomando-ducha-empotrado-notte-acabado-mate-color-negro-_JM</t>
        </is>
      </c>
    </row>
    <row r="37">
      <c r="A37" s="2" t="inlineStr">
        <is>
          <t>PENDIENTE</t>
        </is>
      </c>
      <c r="B37" s="4" t="inlineStr">
        <is>
          <t>BAJAR_PRECIO</t>
        </is>
      </c>
      <c r="C37" t="n">
        <v>3</v>
      </c>
      <c r="D37" t="inlineStr">
        <is>
          <t>C3</t>
        </is>
      </c>
      <c r="E37" t="inlineStr">
        <is>
          <t>MLC3793572738</t>
        </is>
      </c>
      <c r="F37" t="inlineStr">
        <is>
          <t>Monomando Ducha Empotrado Notte Acabado Mate Color Negro</t>
        </is>
      </c>
      <c r="G37" t="inlineStr">
        <is>
          <t>gold_pro</t>
        </is>
      </c>
      <c r="H37" t="n">
        <v>1</v>
      </c>
      <c r="I37" t="n">
        <v>32209</v>
      </c>
      <c r="J37" t="n">
        <v>10633</v>
      </c>
      <c r="K37" t="n">
        <v>7772</v>
      </c>
      <c r="L37" t="n">
        <v>28.7</v>
      </c>
      <c r="M37" t="n">
        <v>19780</v>
      </c>
      <c r="N37" t="n">
        <v>670</v>
      </c>
      <c r="O37" t="n">
        <v>4</v>
      </c>
      <c r="P37" t="n">
        <v>-24.7</v>
      </c>
      <c r="Q37" t="inlineStr">
        <is>
          <t>EXT: None</t>
        </is>
      </c>
      <c r="R37" t="n">
        <v>19980</v>
      </c>
      <c r="S37" t="n">
        <v>61.2</v>
      </c>
      <c r="T37" t="inlineStr">
        <is>
          <t>Externo None gana a $19.980. Bajando a $19.780 recuperas buy box manteniendo margen 4.0%.</t>
        </is>
      </c>
      <c r="U37" t="inlineStr">
        <is>
          <t>MLC41735119</t>
        </is>
      </c>
      <c r="V37" t="inlineStr">
        <is>
          <t>https://articulo.mercadolibre.cl/MLC-3793572738-monomando-ducha-empotrado-notte-acabado-mate-color-negro-_JM</t>
        </is>
      </c>
    </row>
    <row r="38">
      <c r="A38" s="2" t="inlineStr">
        <is>
          <t>PENDIENTE</t>
        </is>
      </c>
      <c r="B38" s="4" t="inlineStr">
        <is>
          <t>BAJAR_PRECIO</t>
        </is>
      </c>
      <c r="C38" t="n">
        <v>3</v>
      </c>
      <c r="D38" t="inlineStr">
        <is>
          <t>C3</t>
        </is>
      </c>
      <c r="E38" t="inlineStr">
        <is>
          <t>MLC2999104792</t>
        </is>
      </c>
      <c r="F38" t="inlineStr">
        <is>
          <t>Set Accesorios Baño 6 Piezas Colomba Plateado</t>
        </is>
      </c>
      <c r="G38" t="inlineStr">
        <is>
          <t>gold_pro</t>
        </is>
      </c>
      <c r="H38" t="n">
        <v>3</v>
      </c>
      <c r="I38" t="n">
        <v>25714</v>
      </c>
      <c r="J38" t="n">
        <v>7476</v>
      </c>
      <c r="K38" t="n">
        <v>7218</v>
      </c>
      <c r="L38" t="n">
        <v>33.4</v>
      </c>
      <c r="M38" t="n">
        <v>15030</v>
      </c>
      <c r="N38" t="n">
        <v>1113</v>
      </c>
      <c r="O38" t="n">
        <v>8.800000000000001</v>
      </c>
      <c r="P38" t="n">
        <v>-24.6</v>
      </c>
      <c r="Q38" t="inlineStr">
        <is>
          <t>EXT: None</t>
        </is>
      </c>
      <c r="R38" t="n">
        <v>15190</v>
      </c>
      <c r="S38" t="n">
        <v>69.3</v>
      </c>
      <c r="T38" t="inlineStr">
        <is>
          <t>Externo None gana a $15.190. Bajando a $15.030 recuperas buy box manteniendo margen 8.8%.</t>
        </is>
      </c>
      <c r="U38" t="inlineStr">
        <is>
          <t>MLC38831773</t>
        </is>
      </c>
      <c r="V38" t="inlineStr">
        <is>
          <t>https://articulo.mercadolibre.cl/MLC-2999104792-set-accesorios-bano-6-piezas-colomba-plateado-_JM</t>
        </is>
      </c>
    </row>
    <row r="39">
      <c r="A39" s="2" t="inlineStr">
        <is>
          <t>PENDIENTE</t>
        </is>
      </c>
      <c r="B39" s="4" t="inlineStr">
        <is>
          <t>BAJAR_PRECIO</t>
        </is>
      </c>
      <c r="C39" t="n">
        <v>3</v>
      </c>
      <c r="D39" t="inlineStr">
        <is>
          <t>C1</t>
        </is>
      </c>
      <c r="E39" t="inlineStr">
        <is>
          <t>MLC1653072427</t>
        </is>
      </c>
      <c r="F39" t="inlineStr">
        <is>
          <t>Set Accesorios Baño 6 Piezas Colomba Plateado</t>
        </is>
      </c>
      <c r="G39" t="inlineStr">
        <is>
          <t>gold_pro</t>
        </is>
      </c>
      <c r="H39" t="n">
        <v>3</v>
      </c>
      <c r="I39" t="n">
        <v>24428</v>
      </c>
      <c r="J39" t="n">
        <v>7476</v>
      </c>
      <c r="K39" t="n">
        <v>6483</v>
      </c>
      <c r="L39" t="n">
        <v>31.6</v>
      </c>
      <c r="M39" t="n">
        <v>15030</v>
      </c>
      <c r="N39" t="n">
        <v>1113</v>
      </c>
      <c r="O39" t="n">
        <v>8.800000000000001</v>
      </c>
      <c r="P39" t="n">
        <v>-22.8</v>
      </c>
      <c r="Q39" t="inlineStr">
        <is>
          <t>EXT: None</t>
        </is>
      </c>
      <c r="R39" t="n">
        <v>15190</v>
      </c>
      <c r="S39" t="n">
        <v>60.8</v>
      </c>
      <c r="T39" t="inlineStr">
        <is>
          <t>Externo None gana a $15.190. Bajando a $15.030 recuperas buy box manteniendo margen 8.8%.</t>
        </is>
      </c>
      <c r="U39" t="inlineStr">
        <is>
          <t>MLC38831773</t>
        </is>
      </c>
      <c r="V39" t="inlineStr">
        <is>
          <t>https://articulo.mercadolibre.cl/MLC-1653072427-set-accesorios-bano-6-piezas-colomba-plateado-_JM</t>
        </is>
      </c>
    </row>
    <row r="40">
      <c r="A40" s="2" t="inlineStr">
        <is>
          <t>PENDIENTE</t>
        </is>
      </c>
      <c r="B40" s="4" t="inlineStr">
        <is>
          <t>BAJAR_PRECIO</t>
        </is>
      </c>
      <c r="C40" t="n">
        <v>3</v>
      </c>
      <c r="D40" t="inlineStr">
        <is>
          <t>C2</t>
        </is>
      </c>
      <c r="E40" t="inlineStr">
        <is>
          <t>MLC1510438159</t>
        </is>
      </c>
      <c r="F40" t="inlineStr">
        <is>
          <t>Set Accesorios Baño 6 Piezas Colomba Plateado</t>
        </is>
      </c>
      <c r="G40" t="inlineStr">
        <is>
          <t>gold_pro</t>
        </is>
      </c>
      <c r="H40" t="n">
        <v>3</v>
      </c>
      <c r="I40" t="n">
        <v>22490</v>
      </c>
      <c r="J40" t="n">
        <v>7476</v>
      </c>
      <c r="K40" t="n">
        <v>5375</v>
      </c>
      <c r="L40" t="n">
        <v>28.4</v>
      </c>
      <c r="M40" t="n">
        <v>15030</v>
      </c>
      <c r="N40" t="n">
        <v>1113</v>
      </c>
      <c r="O40" t="n">
        <v>8.800000000000001</v>
      </c>
      <c r="P40" t="n">
        <v>-19.6</v>
      </c>
      <c r="Q40" t="inlineStr">
        <is>
          <t>EXT: None</t>
        </is>
      </c>
      <c r="R40" t="n">
        <v>15190</v>
      </c>
      <c r="S40" t="n">
        <v>48.1</v>
      </c>
      <c r="T40" t="inlineStr">
        <is>
          <t>Externo None gana a $15.190. Bajando a $15.030 recuperas buy box manteniendo margen 8.8%.</t>
        </is>
      </c>
      <c r="U40" t="inlineStr">
        <is>
          <t>MLC38831773</t>
        </is>
      </c>
      <c r="V40" t="inlineStr">
        <is>
          <t>https://articulo.mercadolibre.cl/MLC-1510438159-set-accesorios-bano-6-piezas-colomba-plateado-_JM</t>
        </is>
      </c>
    </row>
    <row r="41">
      <c r="A41" s="2" t="inlineStr">
        <is>
          <t>PENDIENTE</t>
        </is>
      </c>
      <c r="B41" s="4" t="inlineStr">
        <is>
          <t>BAJAR_PRECIO</t>
        </is>
      </c>
      <c r="C41" t="n">
        <v>3</v>
      </c>
      <c r="D41" t="inlineStr">
        <is>
          <t>C3</t>
        </is>
      </c>
      <c r="E41" t="inlineStr">
        <is>
          <t>MLC3793624514</t>
        </is>
      </c>
      <c r="F41" t="inlineStr">
        <is>
          <t>Barra Seguridad Recta Ducha Baño 60 Cm X 3,2 Cm Inoxidable Plateado</t>
        </is>
      </c>
      <c r="G41" t="inlineStr">
        <is>
          <t>gold_pro</t>
        </is>
      </c>
      <c r="H41" t="n">
        <v>1</v>
      </c>
      <c r="I41" t="n">
        <v>18459</v>
      </c>
      <c r="J41" t="n">
        <v>5420</v>
      </c>
      <c r="K41" t="n">
        <v>5128</v>
      </c>
      <c r="L41" t="n">
        <v>33.1</v>
      </c>
      <c r="M41" t="n">
        <v>9890</v>
      </c>
      <c r="N41" t="n">
        <v>231</v>
      </c>
      <c r="O41" t="n">
        <v>2.8</v>
      </c>
      <c r="P41" t="n">
        <v>-30.3</v>
      </c>
      <c r="Q41" t="inlineStr">
        <is>
          <t>EXT: None</t>
        </is>
      </c>
      <c r="R41" t="n">
        <v>9990</v>
      </c>
      <c r="S41" t="n">
        <v>84.8</v>
      </c>
      <c r="T41" t="inlineStr">
        <is>
          <t>Externo None gana a $9.990. Bajando a $9.890 recuperas buy box manteniendo margen 2.8%.</t>
        </is>
      </c>
      <c r="U41" t="inlineStr">
        <is>
          <t>MLC23348435</t>
        </is>
      </c>
      <c r="V41" t="inlineStr">
        <is>
          <t>https://articulo.mercadolibre.cl/MLC-3793624514-barra-seguridad-recta-ducha-bano-60-cm-x-32-cm-inoxidable-plateado-_JM</t>
        </is>
      </c>
    </row>
    <row r="42">
      <c r="A42" s="2" t="inlineStr">
        <is>
          <t>PENDIENTE</t>
        </is>
      </c>
      <c r="B42" s="4" t="inlineStr">
        <is>
          <t>BAJAR_PRECIO</t>
        </is>
      </c>
      <c r="C42" t="n">
        <v>3</v>
      </c>
      <c r="D42" t="inlineStr">
        <is>
          <t>C2</t>
        </is>
      </c>
      <c r="E42" t="inlineStr">
        <is>
          <t>MLC4016157084</t>
        </is>
      </c>
      <c r="F42" t="inlineStr">
        <is>
          <t>Barra Seguridad Recta Ducha Baño 60 Cm X 3,2 Cm Inoxidable Plateado</t>
        </is>
      </c>
      <c r="G42" t="inlineStr">
        <is>
          <t>gold_special</t>
        </is>
      </c>
      <c r="H42" t="n">
        <v>1</v>
      </c>
      <c r="I42" t="n">
        <v>17190</v>
      </c>
      <c r="J42" t="n">
        <v>5420</v>
      </c>
      <c r="K42" t="n">
        <v>4403</v>
      </c>
      <c r="L42" t="n">
        <v>30.5</v>
      </c>
      <c r="M42" t="n">
        <v>9890</v>
      </c>
      <c r="N42" t="n">
        <v>231</v>
      </c>
      <c r="O42" t="n">
        <v>2.8</v>
      </c>
      <c r="P42" t="n">
        <v>-27.7</v>
      </c>
      <c r="Q42" t="inlineStr">
        <is>
          <t>EXT: None</t>
        </is>
      </c>
      <c r="R42" t="n">
        <v>9990</v>
      </c>
      <c r="S42" t="n">
        <v>72.09999999999999</v>
      </c>
      <c r="T42" t="inlineStr">
        <is>
          <t>Externo None gana a $9.990. Bajando a $9.890 recuperas buy box manteniendo margen 2.8%.</t>
        </is>
      </c>
      <c r="U42" t="inlineStr">
        <is>
          <t>MLC23348435</t>
        </is>
      </c>
      <c r="V42" t="inlineStr">
        <is>
          <t>https://articulo.mercadolibre.cl/MLC-4016157084-barra-seguridad-recta-ducha-bano-60-cm-x-32-cm-inoxidable-plateado-_JM</t>
        </is>
      </c>
    </row>
    <row r="43">
      <c r="A43" s="2" t="inlineStr">
        <is>
          <t>PENDIENTE</t>
        </is>
      </c>
      <c r="B43" s="4" t="inlineStr">
        <is>
          <t>BAJAR_PRECIO</t>
        </is>
      </c>
      <c r="C43" t="n">
        <v>3</v>
      </c>
      <c r="D43" t="inlineStr">
        <is>
          <t>C1</t>
        </is>
      </c>
      <c r="E43" t="inlineStr">
        <is>
          <t>MLC3737701590</t>
        </is>
      </c>
      <c r="F43" t="inlineStr">
        <is>
          <t>Llave Lavacopas Negro Mate Agua Fria O Caliente Notte Taumm</t>
        </is>
      </c>
      <c r="G43" t="inlineStr">
        <is>
          <t>gold_special</t>
        </is>
      </c>
      <c r="H43" t="n">
        <v>2</v>
      </c>
      <c r="I43" t="n">
        <v>15095</v>
      </c>
      <c r="J43" t="n">
        <v>4387</v>
      </c>
      <c r="K43" t="n">
        <v>4239</v>
      </c>
      <c r="L43" t="n">
        <v>33.4</v>
      </c>
      <c r="M43" t="n">
        <v>7930</v>
      </c>
      <c r="N43" t="n">
        <v>144</v>
      </c>
      <c r="O43" t="n">
        <v>2.2</v>
      </c>
      <c r="P43" t="n">
        <v>-31.2</v>
      </c>
      <c r="Q43" t="inlineStr">
        <is>
          <t>EXT: None</t>
        </is>
      </c>
      <c r="R43" t="n">
        <v>8020</v>
      </c>
      <c r="S43" t="n">
        <v>88.2</v>
      </c>
      <c r="T43" t="inlineStr">
        <is>
          <t>Externo None gana a $8.020. Bajando a $7.930 recuperas buy box manteniendo margen 2.2%.</t>
        </is>
      </c>
      <c r="U43" t="inlineStr">
        <is>
          <t>MLC54411778</t>
        </is>
      </c>
      <c r="V43" t="inlineStr">
        <is>
          <t>https://articulo.mercadolibre.cl/MLC-3737701590-llave-lavacopas-negro-mate-agua-fria-o-caliente-notte-taumm-_JM</t>
        </is>
      </c>
    </row>
    <row r="44">
      <c r="A44" s="2" t="inlineStr">
        <is>
          <t>PENDIENTE</t>
        </is>
      </c>
      <c r="B44" s="4" t="inlineStr">
        <is>
          <t>BAJAR_PRECIO</t>
        </is>
      </c>
      <c r="C44" t="n">
        <v>3</v>
      </c>
      <c r="D44" t="inlineStr">
        <is>
          <t>C2</t>
        </is>
      </c>
      <c r="E44" t="inlineStr">
        <is>
          <t>MLC3790439914</t>
        </is>
      </c>
      <c r="F44" t="inlineStr">
        <is>
          <t>Llave Lavacopas Negro Mate Agua Fria O Caliente Notte Taumm</t>
        </is>
      </c>
      <c r="G44" t="inlineStr">
        <is>
          <t>gold_special</t>
        </is>
      </c>
      <c r="H44" t="n">
        <v>2</v>
      </c>
      <c r="I44" t="n">
        <v>15095</v>
      </c>
      <c r="J44" t="n">
        <v>4387</v>
      </c>
      <c r="K44" t="n">
        <v>4239</v>
      </c>
      <c r="L44" t="n">
        <v>33.4</v>
      </c>
      <c r="M44" t="n">
        <v>7930</v>
      </c>
      <c r="N44" t="n">
        <v>144</v>
      </c>
      <c r="O44" t="n">
        <v>2.2</v>
      </c>
      <c r="P44" t="n">
        <v>-31.2</v>
      </c>
      <c r="Q44" t="inlineStr">
        <is>
          <t>EXT: None</t>
        </is>
      </c>
      <c r="R44" t="n">
        <v>8020</v>
      </c>
      <c r="S44" t="n">
        <v>88.2</v>
      </c>
      <c r="T44" t="inlineStr">
        <is>
          <t>Externo None gana a $8.020. Bajando a $7.930 recuperas buy box manteniendo margen 2.2%.</t>
        </is>
      </c>
      <c r="U44" t="inlineStr">
        <is>
          <t>MLC54411778</t>
        </is>
      </c>
      <c r="V44" t="inlineStr">
        <is>
          <t>https://articulo.mercadolibre.cl/MLC-3790439914-llave-lavacopas-negro-mate-agua-fria-o-caliente-notte-taumm-_JM</t>
        </is>
      </c>
    </row>
    <row r="45">
      <c r="A45" s="2" t="inlineStr">
        <is>
          <t>PENDIENTE</t>
        </is>
      </c>
      <c r="B45" s="4" t="inlineStr">
        <is>
          <t>BAJAR_PRECIO</t>
        </is>
      </c>
      <c r="C45" t="n">
        <v>3</v>
      </c>
      <c r="D45" t="inlineStr">
        <is>
          <t>C1</t>
        </is>
      </c>
      <c r="E45" t="inlineStr">
        <is>
          <t>MLC2961406356</t>
        </is>
      </c>
      <c r="F45" t="inlineStr">
        <is>
          <t>Kit Wc Anclaje Antifuga Admisión</t>
        </is>
      </c>
      <c r="G45" t="inlineStr">
        <is>
          <t>gold_special</t>
        </is>
      </c>
      <c r="H45" t="n">
        <v>6</v>
      </c>
      <c r="I45" t="n">
        <v>12999</v>
      </c>
      <c r="J45" t="n">
        <v>3880</v>
      </c>
      <c r="K45" t="n">
        <v>3548</v>
      </c>
      <c r="L45" t="n">
        <v>32.5</v>
      </c>
      <c r="M45" t="n">
        <v>6770</v>
      </c>
      <c r="N45" t="n">
        <v>-11</v>
      </c>
      <c r="O45" t="n">
        <v>-0.2</v>
      </c>
      <c r="P45" t="n">
        <v>-32.7</v>
      </c>
      <c r="Q45" t="inlineStr">
        <is>
          <t>EXT: None</t>
        </is>
      </c>
      <c r="R45" t="n">
        <v>6840</v>
      </c>
      <c r="S45" t="n">
        <v>90</v>
      </c>
      <c r="T45" t="inlineStr">
        <is>
          <t>Externo None gana a $6.840. Bajando a $6.770 recuperas buy box manteniendo margen -0.2%.</t>
        </is>
      </c>
      <c r="U45" t="inlineStr">
        <is>
          <t>MLC27516811</t>
        </is>
      </c>
      <c r="V45" t="inlineStr">
        <is>
          <t>https://articulo.mercadolibre.cl/MLC-2961406356-kit-wc-anclaje-antifuga-admision-_JM</t>
        </is>
      </c>
    </row>
    <row r="46">
      <c r="A46" s="2" t="inlineStr">
        <is>
          <t>PENDIENTE</t>
        </is>
      </c>
      <c r="B46" s="4" t="inlineStr">
        <is>
          <t>BAJAR_PRECIO</t>
        </is>
      </c>
      <c r="C46" t="n">
        <v>3</v>
      </c>
      <c r="D46" t="inlineStr">
        <is>
          <t>C2</t>
        </is>
      </c>
      <c r="E46" t="inlineStr">
        <is>
          <t>MLC2992444340</t>
        </is>
      </c>
      <c r="F46" t="inlineStr">
        <is>
          <t>Kit Wc Anclaje Antifuga Admisión</t>
        </is>
      </c>
      <c r="G46" t="inlineStr">
        <is>
          <t>gold_special</t>
        </is>
      </c>
      <c r="H46" t="n">
        <v>6</v>
      </c>
      <c r="I46" t="n">
        <v>12490</v>
      </c>
      <c r="J46" t="n">
        <v>3880</v>
      </c>
      <c r="K46" t="n">
        <v>3257</v>
      </c>
      <c r="L46" t="n">
        <v>31</v>
      </c>
      <c r="M46" t="n">
        <v>6770</v>
      </c>
      <c r="N46" t="n">
        <v>-11</v>
      </c>
      <c r="O46" t="n">
        <v>-0.2</v>
      </c>
      <c r="P46" t="n">
        <v>-31.2</v>
      </c>
      <c r="Q46" t="inlineStr">
        <is>
          <t>EXT: None</t>
        </is>
      </c>
      <c r="R46" t="n">
        <v>6840</v>
      </c>
      <c r="S46" t="n">
        <v>82.59999999999999</v>
      </c>
      <c r="T46" t="inlineStr">
        <is>
          <t>Externo None gana a $6.840. Bajando a $6.770 recuperas buy box manteniendo margen -0.2%.</t>
        </is>
      </c>
      <c r="U46" t="inlineStr">
        <is>
          <t>MLC27516811</t>
        </is>
      </c>
      <c r="V46" t="inlineStr">
        <is>
          <t>https://articulo.mercadolibre.cl/MLC-2992444340-kit-wc-anclaje-antifuga-admision-_JM</t>
        </is>
      </c>
    </row>
    <row r="47">
      <c r="A47" s="2" t="inlineStr">
        <is>
          <t>PENDIENTE</t>
        </is>
      </c>
      <c r="B47" s="4" t="inlineStr">
        <is>
          <t>BAJAR_PRECIO</t>
        </is>
      </c>
      <c r="C47" t="n">
        <v>3</v>
      </c>
      <c r="D47" t="inlineStr">
        <is>
          <t>C1</t>
        </is>
      </c>
      <c r="E47" t="inlineStr">
        <is>
          <t>MLC1653063221</t>
        </is>
      </c>
      <c r="F47" t="inlineStr">
        <is>
          <t>Dispensador De Toalla Interfoliada De Gran Capacidad Täumm Interfoliada 20 Cm</t>
        </is>
      </c>
      <c r="G47" t="inlineStr">
        <is>
          <t>gold_special</t>
        </is>
      </c>
      <c r="H47" t="n">
        <v>1</v>
      </c>
      <c r="I47" t="n">
        <v>11870</v>
      </c>
      <c r="J47" t="n">
        <v>3505</v>
      </c>
      <c r="K47" t="n">
        <v>3278</v>
      </c>
      <c r="L47" t="n">
        <v>32.9</v>
      </c>
      <c r="M47" t="n">
        <v>6820</v>
      </c>
      <c r="N47" t="n">
        <v>392</v>
      </c>
      <c r="O47" t="n">
        <v>6.8</v>
      </c>
      <c r="P47" t="n">
        <v>-26.1</v>
      </c>
      <c r="Q47" t="inlineStr">
        <is>
          <t>EXT: None</t>
        </is>
      </c>
      <c r="R47" t="n">
        <v>6890</v>
      </c>
      <c r="S47" t="n">
        <v>72.3</v>
      </c>
      <c r="T47" t="inlineStr">
        <is>
          <t>Externo None gana a $6.890. Bajando a $6.820 recuperas buy box manteniendo margen 6.8%.</t>
        </is>
      </c>
      <c r="U47" t="inlineStr">
        <is>
          <t>MLC23596512</t>
        </is>
      </c>
      <c r="V47" t="inlineStr">
        <is>
          <t>https://articulo.mercadolibre.cl/MLC-1653063221-dispensador-de-toalla-interfoliada-de-gran-capacidad-tumm-interfoliada-20-cm-_JM</t>
        </is>
      </c>
    </row>
    <row r="48">
      <c r="A48" s="2" t="inlineStr">
        <is>
          <t>PENDIENTE</t>
        </is>
      </c>
      <c r="B48" s="4" t="inlineStr">
        <is>
          <t>BAJAR_PRECIO</t>
        </is>
      </c>
      <c r="C48" t="n">
        <v>3</v>
      </c>
      <c r="D48" t="inlineStr">
        <is>
          <t>C2</t>
        </is>
      </c>
      <c r="E48" t="inlineStr">
        <is>
          <t>MLC1392723299</t>
        </is>
      </c>
      <c r="F48" t="inlineStr">
        <is>
          <t>Dispensador De Toalla Interfoliada De Gran Capacidad Täumm Interfoliada 20 Cm</t>
        </is>
      </c>
      <c r="G48" t="inlineStr">
        <is>
          <t>gold_special</t>
        </is>
      </c>
      <c r="H48" t="n">
        <v>1</v>
      </c>
      <c r="I48" t="n">
        <v>11870</v>
      </c>
      <c r="J48" t="n">
        <v>3505</v>
      </c>
      <c r="K48" t="n">
        <v>3278</v>
      </c>
      <c r="L48" t="n">
        <v>32.9</v>
      </c>
      <c r="M48" t="n">
        <v>6820</v>
      </c>
      <c r="N48" t="n">
        <v>392</v>
      </c>
      <c r="O48" t="n">
        <v>6.8</v>
      </c>
      <c r="P48" t="n">
        <v>-26.1</v>
      </c>
      <c r="Q48" t="inlineStr">
        <is>
          <t>EXT: None</t>
        </is>
      </c>
      <c r="R48" t="n">
        <v>6890</v>
      </c>
      <c r="S48" t="n">
        <v>72.3</v>
      </c>
      <c r="T48" t="inlineStr">
        <is>
          <t>Externo None gana a $6.890. Bajando a $6.820 recuperas buy box manteniendo margen 6.8%.</t>
        </is>
      </c>
      <c r="U48" t="inlineStr">
        <is>
          <t>MLC23596512</t>
        </is>
      </c>
      <c r="V48" t="inlineStr">
        <is>
          <t>https://articulo.mercadolibre.cl/MLC-1392723299-dispensador-de-toalla-interfoliada-de-gran-capacidad-tumm-interfoliada-20-cm-_JM</t>
        </is>
      </c>
    </row>
    <row r="49">
      <c r="A49" s="2" t="inlineStr">
        <is>
          <t>PENDIENTE</t>
        </is>
      </c>
      <c r="B49" s="4" t="inlineStr">
        <is>
          <t>BAJAR_PRECIO</t>
        </is>
      </c>
      <c r="C49" t="n">
        <v>3</v>
      </c>
      <c r="D49" t="inlineStr">
        <is>
          <t>C1</t>
        </is>
      </c>
      <c r="E49" t="inlineStr">
        <is>
          <t>MLC1250099995</t>
        </is>
      </c>
      <c r="F49" t="inlineStr">
        <is>
          <t>Escobilla Limpia Wc Acero Inoxidable Plateado</t>
        </is>
      </c>
      <c r="G49" t="inlineStr">
        <is>
          <t>gold_special</t>
        </is>
      </c>
      <c r="H49" t="n">
        <v>4</v>
      </c>
      <c r="I49" t="n">
        <v>10990</v>
      </c>
      <c r="J49" t="n">
        <v>3011</v>
      </c>
      <c r="K49" t="n">
        <v>3269</v>
      </c>
      <c r="L49" t="n">
        <v>35.4</v>
      </c>
      <c r="M49" t="n">
        <v>5610</v>
      </c>
      <c r="N49" t="n">
        <v>195</v>
      </c>
      <c r="O49" t="n">
        <v>4.1</v>
      </c>
      <c r="P49" t="n">
        <v>-31.3</v>
      </c>
      <c r="Q49" t="inlineStr">
        <is>
          <t>EXT: None</t>
        </is>
      </c>
      <c r="R49" t="n">
        <v>5668</v>
      </c>
      <c r="S49" t="n">
        <v>93.90000000000001</v>
      </c>
      <c r="T49" t="inlineStr">
        <is>
          <t>Externo None gana a $5.668. Bajando a $5.610 recuperas buy box manteniendo margen 4.1%.</t>
        </is>
      </c>
      <c r="U49" t="inlineStr">
        <is>
          <t>MLC20598761</t>
        </is>
      </c>
      <c r="V49" t="inlineStr">
        <is>
          <t>https://articulo.mercadolibre.cl/MLC-1250099995-escobilla-limpia-wc-acero-inoxidable-plateado-_JM</t>
        </is>
      </c>
    </row>
    <row r="50">
      <c r="A50" s="2" t="inlineStr">
        <is>
          <t>PENDIENTE</t>
        </is>
      </c>
      <c r="B50" s="4" t="inlineStr">
        <is>
          <t>BAJAR_PRECIO</t>
        </is>
      </c>
      <c r="C50" t="n">
        <v>3</v>
      </c>
      <c r="D50" t="inlineStr">
        <is>
          <t>C2</t>
        </is>
      </c>
      <c r="E50" t="inlineStr">
        <is>
          <t>MLC3040010570</t>
        </is>
      </c>
      <c r="F50" t="inlineStr">
        <is>
          <t>Escobilla Limpia Wc Acero Inoxidable Plateado</t>
        </is>
      </c>
      <c r="G50" t="inlineStr">
        <is>
          <t>gold_special</t>
        </is>
      </c>
      <c r="H50" t="n">
        <v>4</v>
      </c>
      <c r="I50" t="n">
        <v>9469</v>
      </c>
      <c r="J50" t="n">
        <v>3011</v>
      </c>
      <c r="K50" t="n">
        <v>2400</v>
      </c>
      <c r="L50" t="n">
        <v>30.2</v>
      </c>
      <c r="M50" t="n">
        <v>5610</v>
      </c>
      <c r="N50" t="n">
        <v>195</v>
      </c>
      <c r="O50" t="n">
        <v>4.1</v>
      </c>
      <c r="P50" t="n">
        <v>-26.1</v>
      </c>
      <c r="Q50" t="inlineStr">
        <is>
          <t>EXT: None</t>
        </is>
      </c>
      <c r="R50" t="n">
        <v>5668</v>
      </c>
      <c r="S50" t="n">
        <v>67.09999999999999</v>
      </c>
      <c r="T50" t="inlineStr">
        <is>
          <t>Externo None gana a $5.668. Bajando a $5.610 recuperas buy box manteniendo margen 4.1%.</t>
        </is>
      </c>
      <c r="U50" t="inlineStr">
        <is>
          <t>MLC20598761</t>
        </is>
      </c>
      <c r="V50" t="inlineStr">
        <is>
          <t>https://articulo.mercadolibre.cl/MLC-3040010570-escobilla-limpia-wc-acero-inoxidable-plateado-_JM</t>
        </is>
      </c>
    </row>
    <row r="51">
      <c r="A51" s="2" t="inlineStr">
        <is>
          <t>PENDIENTE</t>
        </is>
      </c>
      <c r="B51" s="4" t="inlineStr">
        <is>
          <t>BAJAR_PRECIO</t>
        </is>
      </c>
      <c r="C51" t="n">
        <v>3</v>
      </c>
      <c r="D51" t="inlineStr">
        <is>
          <t>C3</t>
        </is>
      </c>
      <c r="E51" t="inlineStr">
        <is>
          <t>MLC3793624420</t>
        </is>
      </c>
      <c r="F51" t="inlineStr">
        <is>
          <t>Escobilla Limpia Wc Acero Inoxidable Plateado</t>
        </is>
      </c>
      <c r="G51" t="inlineStr">
        <is>
          <t>gold_pro</t>
        </is>
      </c>
      <c r="H51" t="n">
        <v>4</v>
      </c>
      <c r="I51" t="n">
        <v>9090</v>
      </c>
      <c r="J51" t="n">
        <v>3011</v>
      </c>
      <c r="K51" t="n">
        <v>2183</v>
      </c>
      <c r="L51" t="n">
        <v>28.6</v>
      </c>
      <c r="M51" t="n">
        <v>5610</v>
      </c>
      <c r="N51" t="n">
        <v>195</v>
      </c>
      <c r="O51" t="n">
        <v>4.1</v>
      </c>
      <c r="P51" t="n">
        <v>-24.5</v>
      </c>
      <c r="Q51" t="inlineStr">
        <is>
          <t>EXT: None</t>
        </is>
      </c>
      <c r="R51" t="n">
        <v>5668</v>
      </c>
      <c r="S51" t="n">
        <v>60.4</v>
      </c>
      <c r="T51" t="inlineStr">
        <is>
          <t>Externo None gana a $5.668. Bajando a $5.610 recuperas buy box manteniendo margen 4.1%.</t>
        </is>
      </c>
      <c r="U51" t="inlineStr">
        <is>
          <t>MLC20598761</t>
        </is>
      </c>
      <c r="V51" t="inlineStr">
        <is>
          <t>https://articulo.mercadolibre.cl/MLC-3793624420-escobilla-limpia-wc-acero-inoxidable-plateado-_JM</t>
        </is>
      </c>
    </row>
    <row r="52">
      <c r="A52" s="2" t="inlineStr">
        <is>
          <t>PENDIENTE</t>
        </is>
      </c>
      <c r="B52" s="4" t="inlineStr">
        <is>
          <t>BAJAR_PRECIO</t>
        </is>
      </c>
      <c r="C52" t="n">
        <v>3</v>
      </c>
      <c r="D52" t="inlineStr">
        <is>
          <t>C1</t>
        </is>
      </c>
      <c r="E52" t="inlineStr">
        <is>
          <t>MLC1420436087</t>
        </is>
      </c>
      <c r="F52" t="inlineStr">
        <is>
          <t>Válvula De Descarga Para Wc Con Flapper Y Cadena</t>
        </is>
      </c>
      <c r="G52" t="inlineStr">
        <is>
          <t>gold_special</t>
        </is>
      </c>
      <c r="H52" t="n">
        <v>4</v>
      </c>
      <c r="I52" t="n">
        <v>7779</v>
      </c>
      <c r="J52" t="n">
        <v>2179</v>
      </c>
      <c r="K52" t="n">
        <v>2266</v>
      </c>
      <c r="L52" t="n">
        <v>34.7</v>
      </c>
      <c r="M52" t="n">
        <v>3860</v>
      </c>
      <c r="N52" t="n">
        <v>27</v>
      </c>
      <c r="O52" t="n">
        <v>0.8</v>
      </c>
      <c r="P52" t="n">
        <v>-33.9</v>
      </c>
      <c r="Q52" t="inlineStr">
        <is>
          <t>EXT: None</t>
        </is>
      </c>
      <c r="R52" t="n">
        <v>3905</v>
      </c>
      <c r="S52" t="n">
        <v>99.2</v>
      </c>
      <c r="T52" t="inlineStr">
        <is>
          <t>Externo None gana a $3.905. Bajando a $3.860 recuperas buy box manteniendo margen 0.8%.</t>
        </is>
      </c>
      <c r="U52" t="inlineStr">
        <is>
          <t>MLC26778872</t>
        </is>
      </c>
      <c r="V52" t="inlineStr">
        <is>
          <t>https://articulo.mercadolibre.cl/MLC-1420436087-valvula-de-descarga-para-wc-con-flapper-y-cadena-_JM</t>
        </is>
      </c>
    </row>
    <row r="53">
      <c r="A53" s="2" t="inlineStr">
        <is>
          <t>PENDIENTE</t>
        </is>
      </c>
      <c r="B53" s="4" t="inlineStr">
        <is>
          <t>BAJAR_PRECIO</t>
        </is>
      </c>
      <c r="C53" t="n">
        <v>3</v>
      </c>
      <c r="D53" t="inlineStr">
        <is>
          <t>C3</t>
        </is>
      </c>
      <c r="E53" t="inlineStr">
        <is>
          <t>MLC1982791610</t>
        </is>
      </c>
      <c r="F53" t="inlineStr">
        <is>
          <t>Válvula De Descarga Para Wc Con Flapper Y Cadena</t>
        </is>
      </c>
      <c r="G53" t="inlineStr">
        <is>
          <t>gold_pro</t>
        </is>
      </c>
      <c r="H53" t="n">
        <v>4</v>
      </c>
      <c r="I53" t="n">
        <v>7390</v>
      </c>
      <c r="J53" t="n">
        <v>2179</v>
      </c>
      <c r="K53" t="n">
        <v>2044</v>
      </c>
      <c r="L53" t="n">
        <v>32.9</v>
      </c>
      <c r="M53" t="n">
        <v>3860</v>
      </c>
      <c r="N53" t="n">
        <v>27</v>
      </c>
      <c r="O53" t="n">
        <v>0.8</v>
      </c>
      <c r="P53" t="n">
        <v>-32.1</v>
      </c>
      <c r="Q53" t="inlineStr">
        <is>
          <t>EXT: None</t>
        </is>
      </c>
      <c r="R53" t="n">
        <v>3905</v>
      </c>
      <c r="S53" t="n">
        <v>89.2</v>
      </c>
      <c r="T53" t="inlineStr">
        <is>
          <t>Externo None gana a $3.905. Bajando a $3.860 recuperas buy box manteniendo margen 0.8%.</t>
        </is>
      </c>
      <c r="U53" t="inlineStr">
        <is>
          <t>MLC26778872</t>
        </is>
      </c>
      <c r="V53" t="inlineStr">
        <is>
          <t>https://articulo.mercadolibre.cl/MLC-1982791610-valvula-de-descarga-para-wc-con-flapper-y-cadena-_JM</t>
        </is>
      </c>
    </row>
    <row r="54">
      <c r="A54" s="2" t="inlineStr">
        <is>
          <t>PENDIENTE</t>
        </is>
      </c>
      <c r="B54" s="4" t="inlineStr">
        <is>
          <t>BAJAR_PRECIO</t>
        </is>
      </c>
      <c r="C54" t="n">
        <v>3</v>
      </c>
      <c r="D54" t="inlineStr">
        <is>
          <t>C2</t>
        </is>
      </c>
      <c r="E54" t="inlineStr">
        <is>
          <t>MLC3734355350</t>
        </is>
      </c>
      <c r="F54" t="inlineStr">
        <is>
          <t>Válvula De Carga Para Estanque Wc Con Flotador</t>
        </is>
      </c>
      <c r="G54" t="inlineStr">
        <is>
          <t>gold_special</t>
        </is>
      </c>
      <c r="H54" t="n">
        <v>1</v>
      </c>
      <c r="I54" t="n">
        <v>6890</v>
      </c>
      <c r="J54" t="n">
        <v>2239</v>
      </c>
      <c r="K54" t="n">
        <v>1698</v>
      </c>
      <c r="L54" t="n">
        <v>29.3</v>
      </c>
      <c r="M54" t="n">
        <v>5430</v>
      </c>
      <c r="N54" t="n">
        <v>864</v>
      </c>
      <c r="O54" t="n">
        <v>18.9</v>
      </c>
      <c r="P54" t="n">
        <v>-10.4</v>
      </c>
      <c r="Q54" t="inlineStr">
        <is>
          <t>EXT: None</t>
        </is>
      </c>
      <c r="R54" t="n">
        <v>5490</v>
      </c>
      <c r="S54" t="n">
        <v>25.5</v>
      </c>
      <c r="T54" t="inlineStr">
        <is>
          <t>Externo None gana a $5.490. Bajando a $5.430 recuperas buy box manteniendo margen 18.9%.</t>
        </is>
      </c>
      <c r="U54" t="inlineStr">
        <is>
          <t>MLC2046010486</t>
        </is>
      </c>
      <c r="V54" t="inlineStr">
        <is>
          <t>https://articulo.mercadolibre.cl/MLC-3734355350-valvula-de-carga-para-estanque-wc-con-flotador-_JM</t>
        </is>
      </c>
    </row>
    <row r="55">
      <c r="A55" s="2" t="inlineStr">
        <is>
          <t>PENDIENTE</t>
        </is>
      </c>
      <c r="B55" s="4" t="inlineStr">
        <is>
          <t>BAJAR_PRECIO</t>
        </is>
      </c>
      <c r="C55" t="n">
        <v>3</v>
      </c>
      <c r="D55" t="inlineStr">
        <is>
          <t>C3</t>
        </is>
      </c>
      <c r="E55" t="inlineStr">
        <is>
          <t>MLC3724904324</t>
        </is>
      </c>
      <c r="F55" t="inlineStr">
        <is>
          <t>Válvula De Carga Para Estanque Wc Con Flotador</t>
        </is>
      </c>
      <c r="G55" t="inlineStr">
        <is>
          <t>gold_pro</t>
        </is>
      </c>
      <c r="H55" t="n">
        <v>1</v>
      </c>
      <c r="I55" t="n">
        <v>6890</v>
      </c>
      <c r="J55" t="n">
        <v>2239</v>
      </c>
      <c r="K55" t="n">
        <v>1698</v>
      </c>
      <c r="L55" t="n">
        <v>29.3</v>
      </c>
      <c r="M55" t="n">
        <v>5430</v>
      </c>
      <c r="N55" t="n">
        <v>864</v>
      </c>
      <c r="O55" t="n">
        <v>18.9</v>
      </c>
      <c r="P55" t="n">
        <v>-10.4</v>
      </c>
      <c r="Q55" t="inlineStr">
        <is>
          <t>EXT: None</t>
        </is>
      </c>
      <c r="R55" t="n">
        <v>5490</v>
      </c>
      <c r="S55" t="n">
        <v>25.5</v>
      </c>
      <c r="T55" t="inlineStr">
        <is>
          <t>Externo None gana a $5.490. Bajando a $5.430 recuperas buy box manteniendo margen 18.9%.</t>
        </is>
      </c>
      <c r="U55" t="inlineStr">
        <is>
          <t>MLC2046010486</t>
        </is>
      </c>
      <c r="V55" t="inlineStr">
        <is>
          <t>https://articulo.mercadolibre.cl/MLC-3724904324-valvula-de-carga-para-estanque-wc-con-flotador-_JM</t>
        </is>
      </c>
    </row>
    <row r="56">
      <c r="A56" s="2" t="inlineStr">
        <is>
          <t>PENDIENTE</t>
        </is>
      </c>
      <c r="B56" s="4" t="inlineStr">
        <is>
          <t>BAJAR_PRECIO</t>
        </is>
      </c>
      <c r="C56" t="n">
        <v>3</v>
      </c>
      <c r="D56" t="inlineStr">
        <is>
          <t>C1</t>
        </is>
      </c>
      <c r="E56" t="inlineStr">
        <is>
          <t>MLC3790437006</t>
        </is>
      </c>
      <c r="F56" t="inlineStr">
        <is>
          <t>Dispensador De Jabón Manual Täumm Para Pared, Blanco De Plástico 500 Ml</t>
        </is>
      </c>
      <c r="G56" t="inlineStr">
        <is>
          <t>gold_pro</t>
        </is>
      </c>
      <c r="H56" t="n">
        <v>2</v>
      </c>
      <c r="I56" t="n">
        <v>6759</v>
      </c>
      <c r="J56" t="n">
        <v>1993</v>
      </c>
      <c r="K56" t="n">
        <v>1869</v>
      </c>
      <c r="L56" t="n">
        <v>32.9</v>
      </c>
      <c r="M56" t="n">
        <v>4840</v>
      </c>
      <c r="N56" t="n">
        <v>773</v>
      </c>
      <c r="O56" t="n">
        <v>19</v>
      </c>
      <c r="P56" t="n">
        <v>-13.9</v>
      </c>
      <c r="Q56" t="inlineStr">
        <is>
          <t>EXT: None</t>
        </is>
      </c>
      <c r="R56" t="n">
        <v>4890</v>
      </c>
      <c r="S56" t="n">
        <v>38.2</v>
      </c>
      <c r="T56" t="inlineStr">
        <is>
          <t>Externo None gana a $4.890. Bajando a $4.840 recuperas buy box manteniendo margen 19.0%.</t>
        </is>
      </c>
      <c r="U56" t="inlineStr">
        <is>
          <t>MLC24474208</t>
        </is>
      </c>
      <c r="V56" t="inlineStr">
        <is>
          <t>https://articulo.mercadolibre.cl/MLC-3790437006-dispensador-de-jabon-manual-tumm-para-pared-blanco-de-plastico-500-ml-_JM</t>
        </is>
      </c>
    </row>
    <row r="57">
      <c r="A57" s="2" t="inlineStr">
        <is>
          <t>PENDIENTE</t>
        </is>
      </c>
      <c r="B57" s="4" t="inlineStr">
        <is>
          <t>BAJAR_PRECIO</t>
        </is>
      </c>
      <c r="C57" t="n">
        <v>3</v>
      </c>
      <c r="D57" t="inlineStr">
        <is>
          <t>C2</t>
        </is>
      </c>
      <c r="E57" t="inlineStr">
        <is>
          <t>MLC1422387113</t>
        </is>
      </c>
      <c r="F57" t="inlineStr">
        <is>
          <t>Válvula De Descarga Para Wc Con Flapper Y Cadena</t>
        </is>
      </c>
      <c r="G57" t="inlineStr">
        <is>
          <t>gold_special</t>
        </is>
      </c>
      <c r="H57" t="n">
        <v>4</v>
      </c>
      <c r="I57" t="n">
        <v>6590</v>
      </c>
      <c r="J57" t="n">
        <v>2179</v>
      </c>
      <c r="K57" t="n">
        <v>1587</v>
      </c>
      <c r="L57" t="n">
        <v>28.7</v>
      </c>
      <c r="M57" t="n">
        <v>3860</v>
      </c>
      <c r="N57" t="n">
        <v>27</v>
      </c>
      <c r="O57" t="n">
        <v>0.8</v>
      </c>
      <c r="P57" t="n">
        <v>-27.9</v>
      </c>
      <c r="Q57" t="inlineStr">
        <is>
          <t>EXT: None</t>
        </is>
      </c>
      <c r="R57" t="n">
        <v>3905</v>
      </c>
      <c r="S57" t="n">
        <v>68.8</v>
      </c>
      <c r="T57" t="inlineStr">
        <is>
          <t>Externo None gana a $3.905. Bajando a $3.860 recuperas buy box manteniendo margen 0.8%.</t>
        </is>
      </c>
      <c r="U57" t="inlineStr">
        <is>
          <t>MLC26778872</t>
        </is>
      </c>
      <c r="V57" t="inlineStr">
        <is>
          <t>https://articulo.mercadolibre.cl/MLC-1422387113-valvula-de-descarga-para-wc-con-flapper-y-cadena-_JM</t>
        </is>
      </c>
    </row>
    <row r="58">
      <c r="A58" s="2" t="inlineStr">
        <is>
          <t>PENDIENTE</t>
        </is>
      </c>
      <c r="B58" s="4" t="inlineStr">
        <is>
          <t>BAJAR_PRECIO</t>
        </is>
      </c>
      <c r="C58" t="n">
        <v>3</v>
      </c>
      <c r="D58" t="inlineStr">
        <is>
          <t>C3</t>
        </is>
      </c>
      <c r="E58" t="inlineStr">
        <is>
          <t>MLC1810379138</t>
        </is>
      </c>
      <c r="F58" t="inlineStr">
        <is>
          <t>Dispensador De Jabón Manual Täumm Para Pared, Blanco De Plástico 500 Ml</t>
        </is>
      </c>
      <c r="G58" t="inlineStr">
        <is>
          <t>gold_pro</t>
        </is>
      </c>
      <c r="H58" t="n">
        <v>2</v>
      </c>
      <c r="I58" t="n">
        <v>6090</v>
      </c>
      <c r="J58" t="n">
        <v>1993</v>
      </c>
      <c r="K58" t="n">
        <v>1487</v>
      </c>
      <c r="L58" t="n">
        <v>29.1</v>
      </c>
      <c r="M58" t="n">
        <v>4840</v>
      </c>
      <c r="N58" t="n">
        <v>773</v>
      </c>
      <c r="O58" t="n">
        <v>19</v>
      </c>
      <c r="P58" t="n">
        <v>-10.1</v>
      </c>
      <c r="Q58" t="inlineStr">
        <is>
          <t>EXT: None</t>
        </is>
      </c>
      <c r="R58" t="n">
        <v>4890</v>
      </c>
      <c r="S58" t="n">
        <v>24.5</v>
      </c>
      <c r="T58" t="inlineStr">
        <is>
          <t>Externo None gana a $4.890. Bajando a $4.840 recuperas buy box manteniendo margen 19.0%.</t>
        </is>
      </c>
      <c r="U58" t="inlineStr">
        <is>
          <t>MLC24474208</t>
        </is>
      </c>
      <c r="V58" t="inlineStr">
        <is>
          <t>https://articulo.mercadolibre.cl/MLC-1810379138-dispensador-de-jabon-manual-tumm-para-pared-blanco-de-plastico-500-ml-_JM</t>
        </is>
      </c>
    </row>
    <row r="59">
      <c r="A59" s="2" t="inlineStr">
        <is>
          <t>PENDIENTE</t>
        </is>
      </c>
      <c r="B59" s="4" t="inlineStr">
        <is>
          <t>BAJAR_PRECIO</t>
        </is>
      </c>
      <c r="C59" t="n">
        <v>3</v>
      </c>
      <c r="D59" t="inlineStr">
        <is>
          <t>C2</t>
        </is>
      </c>
      <c r="E59" t="inlineStr">
        <is>
          <t>MLC3793737010</t>
        </is>
      </c>
      <c r="F59" t="inlineStr">
        <is>
          <t>Flexible De Ducha Acero Inoxidable 1,85 Mts Spiegel Taumm Acabado Cromado Color Plateado</t>
        </is>
      </c>
      <c r="G59" t="inlineStr">
        <is>
          <t>gold_special</t>
        </is>
      </c>
      <c r="H59" t="n">
        <v>6</v>
      </c>
      <c r="I59" t="n">
        <v>4990</v>
      </c>
      <c r="J59" t="n">
        <v>1463</v>
      </c>
      <c r="K59" t="n">
        <v>1388</v>
      </c>
      <c r="L59" t="n">
        <v>33.1</v>
      </c>
      <c r="M59" t="n">
        <v>3810</v>
      </c>
      <c r="N59" t="n">
        <v>714</v>
      </c>
      <c r="O59" t="n">
        <v>22.3</v>
      </c>
      <c r="P59" t="n">
        <v>-10.8</v>
      </c>
      <c r="Q59" t="inlineStr">
        <is>
          <t>EXT: None</t>
        </is>
      </c>
      <c r="R59" t="n">
        <v>3852</v>
      </c>
      <c r="S59" t="n">
        <v>29.5</v>
      </c>
      <c r="T59" t="inlineStr">
        <is>
          <t>Externo None gana a $3.852. Bajando a $3.810 recuperas buy box manteniendo margen 22.3%.</t>
        </is>
      </c>
      <c r="U59" t="inlineStr">
        <is>
          <t>MLC56670237</t>
        </is>
      </c>
      <c r="V59" t="inlineStr">
        <is>
          <t>https://articulo.mercadolibre.cl/MLC-3793737010-flexible-de-ducha-acero-inoxidable-185-mts-spiegel-taumm-acabado-cromado-color-plateado-_JM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2026-05-27T03:43:02Z</dcterms:created>
  <dcterms:modified xmlns:dcterms="http://purl.org/dc/terms/" xmlns:xsi="http://www.w3.org/2001/XMLSchema-instance" xsi:type="dcterms:W3CDTF">2026-05-27T03:43:02Z</dcterms:modified>
</cp:coreProperties>
</file>